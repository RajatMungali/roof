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an\Desktop\Tim Lamoureux Residence Brookfield, MA\"/>
    </mc:Choice>
  </mc:AlternateContent>
  <xr:revisionPtr revIDLastSave="0" documentId="8_{9D780068-3BC9-48F6-BCB8-EA5AC0EF6ED9}" xr6:coauthVersionLast="47" xr6:coauthVersionMax="47" xr10:uidLastSave="{00000000-0000-0000-0000-000000000000}"/>
  <bookViews>
    <workbookView xWindow="-28800" yWindow="0" windowWidth="29040" windowHeight="15600" tabRatio="676" activeTab="1" xr2:uid="{00000000-000D-0000-FFFF-FFFF00000000}"/>
  </bookViews>
  <sheets>
    <sheet name="Take off" sheetId="11" r:id="rId1"/>
    <sheet name="Timberlines (2 layer strip)" sheetId="12" r:id="rId2"/>
    <sheet name="Timberlines 2 layer strip w-ply" sheetId="15" r:id="rId3"/>
    <sheet name="Timberlines (3 layer strip)" sheetId="14" r:id="rId4"/>
    <sheet name="Material List" sheetId="13" r:id="rId5"/>
    <sheet name="Formulas" sheetId="2" r:id="rId6"/>
  </sheets>
  <definedNames>
    <definedName name="_xlnm.Print_Area" localSheetId="1">'Timberlines (2 layer strip)'!$A$1:$I$92</definedName>
    <definedName name="_xlnm.Print_Area" localSheetId="3">'Timberlines (3 layer strip)'!$A$1:$I$92</definedName>
    <definedName name="_xlnm.Print_Area" localSheetId="2">'Timberlines 2 layer strip w-ply'!$A$1:$I$92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83" i="15" l="1"/>
  <c r="C82" i="15"/>
  <c r="C81" i="15"/>
  <c r="C80" i="15"/>
  <c r="A80" i="15"/>
  <c r="F75" i="15" s="1"/>
  <c r="F77" i="15"/>
  <c r="I77" i="15" s="1"/>
  <c r="A77" i="15"/>
  <c r="K76" i="15"/>
  <c r="K75" i="15"/>
  <c r="K74" i="15"/>
  <c r="F74" i="15"/>
  <c r="K73" i="15"/>
  <c r="K70" i="15"/>
  <c r="F65" i="15"/>
  <c r="F64" i="15"/>
  <c r="F63" i="15"/>
  <c r="F62" i="15"/>
  <c r="F61" i="15"/>
  <c r="F60" i="15"/>
  <c r="G59" i="15"/>
  <c r="H59" i="15" s="1"/>
  <c r="I59" i="15" s="1"/>
  <c r="F59" i="15"/>
  <c r="F58" i="15"/>
  <c r="F57" i="15"/>
  <c r="F56" i="15"/>
  <c r="F55" i="15"/>
  <c r="F54" i="15"/>
  <c r="C53" i="15"/>
  <c r="F53" i="15" s="1"/>
  <c r="F52" i="15"/>
  <c r="G51" i="15"/>
  <c r="H51" i="15" s="1"/>
  <c r="I51" i="15" s="1"/>
  <c r="F51" i="15"/>
  <c r="F50" i="15"/>
  <c r="G50" i="15" s="1"/>
  <c r="F49" i="15"/>
  <c r="F48" i="15"/>
  <c r="G47" i="15"/>
  <c r="H47" i="15" s="1"/>
  <c r="I47" i="15" s="1"/>
  <c r="F47" i="15"/>
  <c r="F46" i="15"/>
  <c r="G46" i="15" s="1"/>
  <c r="F45" i="15"/>
  <c r="F44" i="15"/>
  <c r="G44" i="15" s="1"/>
  <c r="G43" i="15"/>
  <c r="H43" i="15" s="1"/>
  <c r="I43" i="15" s="1"/>
  <c r="F43" i="15"/>
  <c r="C42" i="15"/>
  <c r="F42" i="15" s="1"/>
  <c r="C41" i="15"/>
  <c r="F41" i="15" s="1"/>
  <c r="C40" i="15"/>
  <c r="F40" i="15" s="1"/>
  <c r="F39" i="15"/>
  <c r="F38" i="15"/>
  <c r="C37" i="15"/>
  <c r="F37" i="15" s="1"/>
  <c r="G36" i="15"/>
  <c r="H36" i="15" s="1"/>
  <c r="I36" i="15" s="1"/>
  <c r="F36" i="15"/>
  <c r="C35" i="15"/>
  <c r="F35" i="15" s="1"/>
  <c r="F34" i="15"/>
  <c r="C33" i="15"/>
  <c r="F33" i="15" s="1"/>
  <c r="C32" i="15"/>
  <c r="F32" i="15" s="1"/>
  <c r="F31" i="15"/>
  <c r="G31" i="15" s="1"/>
  <c r="C30" i="15"/>
  <c r="F30" i="15" s="1"/>
  <c r="C29" i="15"/>
  <c r="F29" i="15" s="1"/>
  <c r="F28" i="15"/>
  <c r="G28" i="15" s="1"/>
  <c r="C27" i="15"/>
  <c r="F27" i="15" s="1"/>
  <c r="H26" i="15"/>
  <c r="I26" i="15" s="1"/>
  <c r="G26" i="15"/>
  <c r="F26" i="15"/>
  <c r="F25" i="15"/>
  <c r="E24" i="15"/>
  <c r="F24" i="15" s="1"/>
  <c r="C24" i="15"/>
  <c r="F23" i="15"/>
  <c r="G23" i="15" s="1"/>
  <c r="G22" i="15"/>
  <c r="H22" i="15" s="1"/>
  <c r="I22" i="15" s="1"/>
  <c r="F22" i="15"/>
  <c r="F21" i="15"/>
  <c r="F20" i="15"/>
  <c r="G20" i="15" s="1"/>
  <c r="F19" i="15"/>
  <c r="C18" i="15"/>
  <c r="F18" i="15" s="1"/>
  <c r="F17" i="15"/>
  <c r="G17" i="15" s="1"/>
  <c r="F16" i="15"/>
  <c r="F15" i="15"/>
  <c r="F14" i="15"/>
  <c r="G14" i="15" s="1"/>
  <c r="H14" i="15" s="1"/>
  <c r="I14" i="15" s="1"/>
  <c r="B5" i="15"/>
  <c r="C82" i="14"/>
  <c r="C81" i="14"/>
  <c r="C81" i="12"/>
  <c r="C82" i="12"/>
  <c r="C83" i="14"/>
  <c r="C80" i="14"/>
  <c r="A80" i="14"/>
  <c r="F77" i="14"/>
  <c r="I77" i="14" s="1"/>
  <c r="A77" i="14"/>
  <c r="K77" i="14" s="1"/>
  <c r="K76" i="14"/>
  <c r="K75" i="14"/>
  <c r="K74" i="14"/>
  <c r="F74" i="14"/>
  <c r="K73" i="14"/>
  <c r="A72" i="14"/>
  <c r="K72" i="14" s="1"/>
  <c r="A71" i="14"/>
  <c r="K71" i="14" s="1"/>
  <c r="K70" i="14"/>
  <c r="A69" i="14"/>
  <c r="K69" i="14" s="1"/>
  <c r="A68" i="14"/>
  <c r="K68" i="14" s="1"/>
  <c r="F65" i="14"/>
  <c r="G64" i="14"/>
  <c r="H64" i="14" s="1"/>
  <c r="I64" i="14" s="1"/>
  <c r="F64" i="14"/>
  <c r="F63" i="14"/>
  <c r="F62" i="14"/>
  <c r="F61" i="14"/>
  <c r="G61" i="14" s="1"/>
  <c r="H61" i="14" s="1"/>
  <c r="I61" i="14" s="1"/>
  <c r="G60" i="14"/>
  <c r="H60" i="14" s="1"/>
  <c r="I60" i="14" s="1"/>
  <c r="F60" i="14"/>
  <c r="F59" i="14"/>
  <c r="F58" i="14"/>
  <c r="F57" i="14"/>
  <c r="G56" i="14"/>
  <c r="H56" i="14" s="1"/>
  <c r="I56" i="14" s="1"/>
  <c r="F56" i="14"/>
  <c r="F55" i="14"/>
  <c r="F54" i="14"/>
  <c r="C53" i="14"/>
  <c r="F53" i="14" s="1"/>
  <c r="F52" i="14"/>
  <c r="G52" i="14" s="1"/>
  <c r="H52" i="14" s="1"/>
  <c r="I52" i="14" s="1"/>
  <c r="F51" i="14"/>
  <c r="G51" i="14" s="1"/>
  <c r="F50" i="14"/>
  <c r="F49" i="14"/>
  <c r="G49" i="14" s="1"/>
  <c r="H48" i="14"/>
  <c r="I48" i="14" s="1"/>
  <c r="F48" i="14"/>
  <c r="G48" i="14" s="1"/>
  <c r="F47" i="14"/>
  <c r="G47" i="14" s="1"/>
  <c r="F46" i="14"/>
  <c r="F45" i="14"/>
  <c r="F44" i="14"/>
  <c r="G44" i="14" s="1"/>
  <c r="H44" i="14" s="1"/>
  <c r="I44" i="14" s="1"/>
  <c r="F43" i="14"/>
  <c r="G43" i="14" s="1"/>
  <c r="C42" i="14"/>
  <c r="F42" i="14" s="1"/>
  <c r="F41" i="14"/>
  <c r="C41" i="14"/>
  <c r="C40" i="14"/>
  <c r="F40" i="14" s="1"/>
  <c r="F39" i="14"/>
  <c r="F38" i="14"/>
  <c r="C37" i="14"/>
  <c r="F37" i="14" s="1"/>
  <c r="F36" i="14"/>
  <c r="G36" i="14" s="1"/>
  <c r="C35" i="14"/>
  <c r="F35" i="14" s="1"/>
  <c r="F34" i="14"/>
  <c r="C33" i="14"/>
  <c r="F33" i="14" s="1"/>
  <c r="C32" i="14"/>
  <c r="F32" i="14" s="1"/>
  <c r="F31" i="14"/>
  <c r="C30" i="14"/>
  <c r="F30" i="14" s="1"/>
  <c r="C29" i="14"/>
  <c r="F29" i="14" s="1"/>
  <c r="F28" i="14"/>
  <c r="C27" i="14"/>
  <c r="F27" i="14" s="1"/>
  <c r="F26" i="14"/>
  <c r="F25" i="14"/>
  <c r="G25" i="14" s="1"/>
  <c r="E24" i="14"/>
  <c r="F24" i="14" s="1"/>
  <c r="C24" i="14"/>
  <c r="F23" i="14"/>
  <c r="G23" i="14" s="1"/>
  <c r="H23" i="14" s="1"/>
  <c r="I23" i="14" s="1"/>
  <c r="F22" i="14"/>
  <c r="F21" i="14"/>
  <c r="F20" i="14"/>
  <c r="G20" i="14" s="1"/>
  <c r="H20" i="14" s="1"/>
  <c r="I20" i="14" s="1"/>
  <c r="F19" i="14"/>
  <c r="G19" i="14" s="1"/>
  <c r="H19" i="14" s="1"/>
  <c r="I19" i="14" s="1"/>
  <c r="C18" i="14"/>
  <c r="F18" i="14" s="1"/>
  <c r="F17" i="14"/>
  <c r="F16" i="14"/>
  <c r="G16" i="14" s="1"/>
  <c r="F15" i="14"/>
  <c r="F14" i="14"/>
  <c r="B5" i="14"/>
  <c r="C80" i="12"/>
  <c r="C83" i="12"/>
  <c r="E24" i="12"/>
  <c r="H46" i="12"/>
  <c r="G46" i="12"/>
  <c r="F46" i="12"/>
  <c r="A80" i="12"/>
  <c r="C30" i="11"/>
  <c r="C40" i="12" s="1"/>
  <c r="C31" i="11"/>
  <c r="C33" i="12"/>
  <c r="C18" i="12"/>
  <c r="F32" i="12"/>
  <c r="C29" i="12"/>
  <c r="F74" i="12"/>
  <c r="F60" i="12"/>
  <c r="F61" i="12"/>
  <c r="G61" i="12" s="1"/>
  <c r="F17" i="12"/>
  <c r="G17" i="12" s="1"/>
  <c r="D23" i="11"/>
  <c r="D22" i="11"/>
  <c r="D21" i="11"/>
  <c r="D18" i="11"/>
  <c r="D15" i="11"/>
  <c r="A77" i="12"/>
  <c r="A68" i="12" s="1"/>
  <c r="F25" i="12"/>
  <c r="G25" i="12" s="1"/>
  <c r="H25" i="12" s="1"/>
  <c r="I25" i="12" s="1"/>
  <c r="F51" i="12"/>
  <c r="G51" i="12" s="1"/>
  <c r="H51" i="12" s="1"/>
  <c r="I51" i="12" s="1"/>
  <c r="B33" i="11"/>
  <c r="D33" i="11" s="1"/>
  <c r="F54" i="12"/>
  <c r="G37" i="15" l="1"/>
  <c r="H37" i="15" s="1"/>
  <c r="I37" i="15" s="1"/>
  <c r="G40" i="15"/>
  <c r="H40" i="15" s="1"/>
  <c r="I40" i="15" s="1"/>
  <c r="H55" i="15"/>
  <c r="I55" i="15" s="1"/>
  <c r="G30" i="15"/>
  <c r="H30" i="15"/>
  <c r="I30" i="15" s="1"/>
  <c r="G33" i="15"/>
  <c r="H33" i="15"/>
  <c r="I33" i="15" s="1"/>
  <c r="G42" i="15"/>
  <c r="H42" i="15"/>
  <c r="I42" i="15" s="1"/>
  <c r="H54" i="15"/>
  <c r="I54" i="15" s="1"/>
  <c r="H34" i="15"/>
  <c r="I34" i="15" s="1"/>
  <c r="G35" i="15"/>
  <c r="H35" i="15"/>
  <c r="I35" i="15" s="1"/>
  <c r="A68" i="15"/>
  <c r="K68" i="15" s="1"/>
  <c r="A72" i="15"/>
  <c r="K72" i="15" s="1"/>
  <c r="A71" i="15"/>
  <c r="K71" i="15" s="1"/>
  <c r="K77" i="15"/>
  <c r="F66" i="15"/>
  <c r="F67" i="15" s="1"/>
  <c r="G63" i="15"/>
  <c r="H63" i="15" s="1"/>
  <c r="I63" i="15" s="1"/>
  <c r="G15" i="15"/>
  <c r="H45" i="15"/>
  <c r="I45" i="15" s="1"/>
  <c r="H65" i="15"/>
  <c r="I65" i="15" s="1"/>
  <c r="H57" i="15"/>
  <c r="I57" i="15" s="1"/>
  <c r="H23" i="15"/>
  <c r="I23" i="15" s="1"/>
  <c r="G55" i="15"/>
  <c r="G24" i="15"/>
  <c r="H24" i="15" s="1"/>
  <c r="I24" i="15" s="1"/>
  <c r="G32" i="15"/>
  <c r="H32" i="15" s="1"/>
  <c r="I32" i="15" s="1"/>
  <c r="H25" i="15"/>
  <c r="I25" i="15" s="1"/>
  <c r="H56" i="15"/>
  <c r="I56" i="15" s="1"/>
  <c r="G18" i="15"/>
  <c r="H18" i="15" s="1"/>
  <c r="I18" i="15" s="1"/>
  <c r="G48" i="15"/>
  <c r="H48" i="15" s="1"/>
  <c r="I48" i="15" s="1"/>
  <c r="A69" i="15"/>
  <c r="K69" i="15" s="1"/>
  <c r="H19" i="15"/>
  <c r="I19" i="15" s="1"/>
  <c r="G41" i="15"/>
  <c r="H41" i="15" s="1"/>
  <c r="I41" i="15" s="1"/>
  <c r="G19" i="15"/>
  <c r="G27" i="15"/>
  <c r="H27" i="15" s="1"/>
  <c r="I27" i="15" s="1"/>
  <c r="H60" i="15"/>
  <c r="I60" i="15" s="1"/>
  <c r="G29" i="15"/>
  <c r="H29" i="15" s="1"/>
  <c r="I29" i="15" s="1"/>
  <c r="G52" i="15"/>
  <c r="H52" i="15" s="1"/>
  <c r="I52" i="15" s="1"/>
  <c r="H44" i="15"/>
  <c r="I44" i="15" s="1"/>
  <c r="G53" i="15"/>
  <c r="H53" i="15" s="1"/>
  <c r="I53" i="15" s="1"/>
  <c r="H15" i="15"/>
  <c r="I15" i="15" s="1"/>
  <c r="H16" i="15"/>
  <c r="I16" i="15" s="1"/>
  <c r="G60" i="15"/>
  <c r="G49" i="15"/>
  <c r="H49" i="15" s="1"/>
  <c r="I49" i="15" s="1"/>
  <c r="H20" i="15"/>
  <c r="I20" i="15" s="1"/>
  <c r="G57" i="15"/>
  <c r="G65" i="15"/>
  <c r="H31" i="15"/>
  <c r="I31" i="15" s="1"/>
  <c r="H17" i="15"/>
  <c r="I17" i="15" s="1"/>
  <c r="G21" i="15"/>
  <c r="H21" i="15" s="1"/>
  <c r="I21" i="15" s="1"/>
  <c r="H28" i="15"/>
  <c r="I28" i="15" s="1"/>
  <c r="G39" i="15"/>
  <c r="H39" i="15" s="1"/>
  <c r="I39" i="15" s="1"/>
  <c r="H46" i="15"/>
  <c r="I46" i="15" s="1"/>
  <c r="H50" i="15"/>
  <c r="I50" i="15" s="1"/>
  <c r="G54" i="15"/>
  <c r="G58" i="15"/>
  <c r="H58" i="15" s="1"/>
  <c r="I58" i="15" s="1"/>
  <c r="G62" i="15"/>
  <c r="H62" i="15" s="1"/>
  <c r="I62" i="15" s="1"/>
  <c r="G25" i="15"/>
  <c r="G56" i="15"/>
  <c r="G64" i="15"/>
  <c r="H64" i="15" s="1"/>
  <c r="I64" i="15" s="1"/>
  <c r="G16" i="15"/>
  <c r="G34" i="15"/>
  <c r="G45" i="15"/>
  <c r="G38" i="15"/>
  <c r="H38" i="15" s="1"/>
  <c r="I38" i="15" s="1"/>
  <c r="G61" i="15"/>
  <c r="H61" i="15" s="1"/>
  <c r="I61" i="15" s="1"/>
  <c r="F75" i="14"/>
  <c r="H24" i="14"/>
  <c r="I24" i="14" s="1"/>
  <c r="G24" i="14"/>
  <c r="G27" i="14"/>
  <c r="H27" i="14" s="1"/>
  <c r="I27" i="14" s="1"/>
  <c r="H45" i="14"/>
  <c r="I45" i="14" s="1"/>
  <c r="H31" i="14"/>
  <c r="I31" i="14" s="1"/>
  <c r="H37" i="14"/>
  <c r="I37" i="14" s="1"/>
  <c r="H38" i="14"/>
  <c r="I38" i="14" s="1"/>
  <c r="G53" i="14"/>
  <c r="H53" i="14" s="1"/>
  <c r="I53" i="14" s="1"/>
  <c r="G34" i="14"/>
  <c r="H34" i="14" s="1"/>
  <c r="I34" i="14" s="1"/>
  <c r="G35" i="14"/>
  <c r="H35" i="14" s="1"/>
  <c r="I35" i="14" s="1"/>
  <c r="H49" i="14"/>
  <c r="I49" i="14" s="1"/>
  <c r="H14" i="14"/>
  <c r="I14" i="14" s="1"/>
  <c r="G41" i="14"/>
  <c r="H41" i="14" s="1"/>
  <c r="I41" i="14" s="1"/>
  <c r="G21" i="14"/>
  <c r="H21" i="14"/>
  <c r="I21" i="14" s="1"/>
  <c r="H63" i="14"/>
  <c r="I63" i="14" s="1"/>
  <c r="F66" i="14"/>
  <c r="F67" i="14" s="1"/>
  <c r="G28" i="14"/>
  <c r="H28" i="14" s="1"/>
  <c r="I28" i="14" s="1"/>
  <c r="G42" i="14"/>
  <c r="H42" i="14"/>
  <c r="I42" i="14" s="1"/>
  <c r="G29" i="14"/>
  <c r="H29" i="14" s="1"/>
  <c r="I29" i="14" s="1"/>
  <c r="H16" i="14"/>
  <c r="I16" i="14" s="1"/>
  <c r="G57" i="14"/>
  <c r="H57" i="14" s="1"/>
  <c r="I57" i="14" s="1"/>
  <c r="G30" i="14"/>
  <c r="H30" i="14" s="1"/>
  <c r="I30" i="14" s="1"/>
  <c r="G37" i="14"/>
  <c r="G65" i="14"/>
  <c r="H65" i="14" s="1"/>
  <c r="I65" i="14" s="1"/>
  <c r="G17" i="14"/>
  <c r="H17" i="14" s="1"/>
  <c r="I17" i="14" s="1"/>
  <c r="H59" i="14"/>
  <c r="I59" i="14" s="1"/>
  <c r="G18" i="14"/>
  <c r="H18" i="14" s="1"/>
  <c r="I18" i="14" s="1"/>
  <c r="G45" i="14"/>
  <c r="E70" i="14"/>
  <c r="F70" i="14" s="1"/>
  <c r="G31" i="14"/>
  <c r="G38" i="14"/>
  <c r="G32" i="14"/>
  <c r="H32" i="14" s="1"/>
  <c r="I32" i="14" s="1"/>
  <c r="G33" i="14"/>
  <c r="H33" i="14" s="1"/>
  <c r="I33" i="14" s="1"/>
  <c r="G40" i="14"/>
  <c r="H40" i="14" s="1"/>
  <c r="I40" i="14" s="1"/>
  <c r="G50" i="14"/>
  <c r="H50" i="14" s="1"/>
  <c r="I50" i="14" s="1"/>
  <c r="G54" i="14"/>
  <c r="H54" i="14" s="1"/>
  <c r="I54" i="14" s="1"/>
  <c r="G14" i="14"/>
  <c r="H25" i="14"/>
  <c r="I25" i="14" s="1"/>
  <c r="G22" i="14"/>
  <c r="H22" i="14" s="1"/>
  <c r="I22" i="14" s="1"/>
  <c r="H36" i="14"/>
  <c r="I36" i="14" s="1"/>
  <c r="H43" i="14"/>
  <c r="I43" i="14" s="1"/>
  <c r="H47" i="14"/>
  <c r="I47" i="14" s="1"/>
  <c r="H51" i="14"/>
  <c r="I51" i="14" s="1"/>
  <c r="G55" i="14"/>
  <c r="H55" i="14" s="1"/>
  <c r="I55" i="14" s="1"/>
  <c r="G59" i="14"/>
  <c r="G63" i="14"/>
  <c r="G46" i="14"/>
  <c r="H46" i="14" s="1"/>
  <c r="I46" i="14" s="1"/>
  <c r="G39" i="14"/>
  <c r="H39" i="14" s="1"/>
  <c r="I39" i="14" s="1"/>
  <c r="G58" i="14"/>
  <c r="H58" i="14" s="1"/>
  <c r="I58" i="14" s="1"/>
  <c r="G62" i="14"/>
  <c r="H62" i="14" s="1"/>
  <c r="I62" i="14" s="1"/>
  <c r="G26" i="14"/>
  <c r="H26" i="14" s="1"/>
  <c r="I26" i="14" s="1"/>
  <c r="G15" i="14"/>
  <c r="H15" i="14" s="1"/>
  <c r="I15" i="14" s="1"/>
  <c r="H17" i="12"/>
  <c r="I17" i="12" s="1"/>
  <c r="I46" i="12"/>
  <c r="H61" i="12"/>
  <c r="I61" i="12" s="1"/>
  <c r="G60" i="12"/>
  <c r="H60" i="12" s="1"/>
  <c r="I60" i="12" s="1"/>
  <c r="G32" i="12"/>
  <c r="H32" i="12" s="1"/>
  <c r="I32" i="12" s="1"/>
  <c r="A71" i="12"/>
  <c r="A72" i="12"/>
  <c r="A69" i="12"/>
  <c r="G54" i="12"/>
  <c r="H54" i="12" s="1"/>
  <c r="I54" i="12" s="1"/>
  <c r="G67" i="15" l="1"/>
  <c r="F68" i="15"/>
  <c r="F79" i="15" s="1"/>
  <c r="E70" i="15"/>
  <c r="F70" i="15" s="1"/>
  <c r="F68" i="14"/>
  <c r="F79" i="14" s="1"/>
  <c r="G67" i="14"/>
  <c r="F83" i="15" l="1"/>
  <c r="G79" i="15"/>
  <c r="F85" i="15"/>
  <c r="F91" i="15"/>
  <c r="F91" i="14"/>
  <c r="F83" i="14"/>
  <c r="F85" i="14"/>
  <c r="G79" i="14"/>
  <c r="G85" i="15" l="1"/>
  <c r="F93" i="15"/>
  <c r="G93" i="15" s="1"/>
  <c r="F88" i="15"/>
  <c r="F89" i="15" s="1"/>
  <c r="G83" i="15"/>
  <c r="F93" i="14"/>
  <c r="G93" i="14" s="1"/>
  <c r="G85" i="14"/>
  <c r="F88" i="14"/>
  <c r="F89" i="14" s="1"/>
  <c r="G83" i="14"/>
  <c r="B39" i="11"/>
  <c r="B29" i="11"/>
  <c r="F55" i="12"/>
  <c r="G55" i="12" s="1"/>
  <c r="H55" i="12" s="1"/>
  <c r="I55" i="12" s="1"/>
  <c r="F39" i="12"/>
  <c r="F48" i="12"/>
  <c r="C24" i="12" l="1"/>
  <c r="D29" i="11"/>
  <c r="F23" i="12" s="1"/>
  <c r="G23" i="12" s="1"/>
  <c r="H23" i="12" s="1"/>
  <c r="I23" i="12" s="1"/>
  <c r="G39" i="12"/>
  <c r="H39" i="12" s="1"/>
  <c r="I39" i="12" s="1"/>
  <c r="G48" i="12"/>
  <c r="H48" i="12" s="1"/>
  <c r="I48" i="12" s="1"/>
  <c r="K69" i="12" l="1"/>
  <c r="K70" i="12"/>
  <c r="K71" i="12"/>
  <c r="K72" i="12"/>
  <c r="K73" i="12"/>
  <c r="K74" i="12"/>
  <c r="K75" i="12"/>
  <c r="K76" i="12"/>
  <c r="K77" i="12"/>
  <c r="K68" i="12"/>
  <c r="D20" i="11"/>
  <c r="D19" i="11"/>
  <c r="D17" i="11"/>
  <c r="B32" i="11" s="1"/>
  <c r="D32" i="11" s="1"/>
  <c r="D16" i="11"/>
  <c r="B16" i="2"/>
  <c r="B27" i="11" l="1"/>
  <c r="D27" i="11" s="1"/>
  <c r="D26" i="11"/>
  <c r="F43" i="12" s="1"/>
  <c r="G43" i="12" s="1"/>
  <c r="H43" i="12" s="1"/>
  <c r="I43" i="12" s="1"/>
  <c r="D11" i="2"/>
  <c r="B11" i="2" s="1"/>
  <c r="B5" i="2"/>
  <c r="B34" i="11" l="1"/>
  <c r="B31" i="11"/>
  <c r="B30" i="11"/>
  <c r="B35" i="11"/>
  <c r="B36" i="11"/>
  <c r="D36" i="11" s="1"/>
  <c r="B26" i="11"/>
  <c r="F40" i="12"/>
  <c r="G40" i="12" s="1"/>
  <c r="H40" i="12" s="1"/>
  <c r="I40" i="12" s="1"/>
  <c r="F38" i="12"/>
  <c r="G38" i="12" s="1"/>
  <c r="H38" i="12" s="1"/>
  <c r="I38" i="12" s="1"/>
  <c r="F65" i="12"/>
  <c r="G65" i="12" s="1"/>
  <c r="H65" i="12" s="1"/>
  <c r="I65" i="12" s="1"/>
  <c r="F64" i="12"/>
  <c r="F63" i="12"/>
  <c r="G63" i="12" s="1"/>
  <c r="H63" i="12" s="1"/>
  <c r="I63" i="12" s="1"/>
  <c r="F62" i="12"/>
  <c r="F59" i="12"/>
  <c r="G59" i="12" s="1"/>
  <c r="H59" i="12" s="1"/>
  <c r="I59" i="12" s="1"/>
  <c r="F58" i="12"/>
  <c r="F57" i="12"/>
  <c r="G57" i="12" s="1"/>
  <c r="H57" i="12" s="1"/>
  <c r="I57" i="12" s="1"/>
  <c r="F56" i="12"/>
  <c r="F52" i="12"/>
  <c r="F49" i="12"/>
  <c r="G49" i="12" s="1"/>
  <c r="H49" i="12" s="1"/>
  <c r="I49" i="12" s="1"/>
  <c r="F47" i="12"/>
  <c r="G47" i="12" s="1"/>
  <c r="H47" i="12" s="1"/>
  <c r="I47" i="12" s="1"/>
  <c r="F42" i="12"/>
  <c r="G42" i="12" s="1"/>
  <c r="H42" i="12" s="1"/>
  <c r="I42" i="12" s="1"/>
  <c r="F37" i="12"/>
  <c r="F36" i="12"/>
  <c r="G36" i="12" s="1"/>
  <c r="H36" i="12" s="1"/>
  <c r="I36" i="12" s="1"/>
  <c r="F35" i="12"/>
  <c r="F34" i="12"/>
  <c r="G34" i="12" s="1"/>
  <c r="H34" i="12" s="1"/>
  <c r="I34" i="12" s="1"/>
  <c r="F33" i="12"/>
  <c r="F31" i="12"/>
  <c r="G31" i="12" s="1"/>
  <c r="H31" i="12" s="1"/>
  <c r="I31" i="12" s="1"/>
  <c r="F30" i="12"/>
  <c r="F29" i="12"/>
  <c r="G29" i="12" s="1"/>
  <c r="H29" i="12" s="1"/>
  <c r="I29" i="12" s="1"/>
  <c r="F22" i="12"/>
  <c r="F21" i="12"/>
  <c r="G21" i="12" s="1"/>
  <c r="H21" i="12" s="1"/>
  <c r="I21" i="12" s="1"/>
  <c r="F20" i="12"/>
  <c r="F15" i="12"/>
  <c r="G15" i="12" s="1"/>
  <c r="D31" i="11" l="1"/>
  <c r="D35" i="11"/>
  <c r="F28" i="12" s="1"/>
  <c r="D34" i="11"/>
  <c r="F53" i="12" s="1"/>
  <c r="G53" i="12" s="1"/>
  <c r="H53" i="12" s="1"/>
  <c r="I53" i="12" s="1"/>
  <c r="F41" i="12"/>
  <c r="G41" i="12" s="1"/>
  <c r="H41" i="12" s="1"/>
  <c r="I41" i="12" s="1"/>
  <c r="D30" i="11"/>
  <c r="F26" i="12" s="1"/>
  <c r="G26" i="12" s="1"/>
  <c r="H26" i="12" s="1"/>
  <c r="I26" i="12" s="1"/>
  <c r="G33" i="12"/>
  <c r="H33" i="12" s="1"/>
  <c r="I33" i="12" s="1"/>
  <c r="G37" i="12"/>
  <c r="H37" i="12" s="1"/>
  <c r="I37" i="12" s="1"/>
  <c r="G58" i="12"/>
  <c r="H58" i="12" s="1"/>
  <c r="I58" i="12" s="1"/>
  <c r="G64" i="12"/>
  <c r="H64" i="12" s="1"/>
  <c r="I64" i="12" s="1"/>
  <c r="G52" i="12"/>
  <c r="H52" i="12" s="1"/>
  <c r="I52" i="12" s="1"/>
  <c r="G20" i="12"/>
  <c r="H20" i="12" s="1"/>
  <c r="I20" i="12" s="1"/>
  <c r="G30" i="12"/>
  <c r="H30" i="12" s="1"/>
  <c r="I30" i="12" s="1"/>
  <c r="G35" i="12"/>
  <c r="H35" i="12" s="1"/>
  <c r="I35" i="12" s="1"/>
  <c r="G56" i="12"/>
  <c r="H56" i="12" s="1"/>
  <c r="I56" i="12" s="1"/>
  <c r="G62" i="12"/>
  <c r="H62" i="12" s="1"/>
  <c r="I62" i="12" s="1"/>
  <c r="G22" i="12"/>
  <c r="H22" i="12" s="1"/>
  <c r="I22" i="12" s="1"/>
  <c r="F45" i="12"/>
  <c r="F44" i="12"/>
  <c r="G44" i="12" s="1"/>
  <c r="H44" i="12" s="1"/>
  <c r="I44" i="12" s="1"/>
  <c r="B28" i="11"/>
  <c r="D28" i="11" s="1"/>
  <c r="F50" i="12"/>
  <c r="F27" i="12"/>
  <c r="G27" i="12" s="1"/>
  <c r="H27" i="12" s="1"/>
  <c r="I27" i="12" s="1"/>
  <c r="F14" i="12"/>
  <c r="H15" i="12"/>
  <c r="I15" i="12" s="1"/>
  <c r="G14" i="12" l="1"/>
  <c r="H14" i="12" s="1"/>
  <c r="I14" i="12" s="1"/>
  <c r="F70" i="12"/>
  <c r="G28" i="12"/>
  <c r="H28" i="12" s="1"/>
  <c r="I28" i="12" s="1"/>
  <c r="G45" i="12"/>
  <c r="H45" i="12" s="1"/>
  <c r="I45" i="12" s="1"/>
  <c r="G50" i="12"/>
  <c r="H50" i="12" s="1"/>
  <c r="I50" i="12" s="1"/>
  <c r="F19" i="12"/>
  <c r="G19" i="12" s="1"/>
  <c r="H19" i="12" s="1"/>
  <c r="I19" i="12" s="1"/>
  <c r="F18" i="12"/>
  <c r="F24" i="12"/>
  <c r="F16" i="12" l="1"/>
  <c r="F66" i="12" s="1"/>
  <c r="G24" i="12"/>
  <c r="H24" i="12" s="1"/>
  <c r="I24" i="12" s="1"/>
  <c r="G18" i="12"/>
  <c r="H18" i="12" s="1"/>
  <c r="I18" i="12" s="1"/>
  <c r="A2" i="13" l="1" a="1"/>
  <c r="A2" i="13" s="1"/>
  <c r="G16" i="12"/>
  <c r="H16" i="12" s="1"/>
  <c r="I16" i="12" s="1"/>
  <c r="F67" i="12"/>
  <c r="F68" i="12" s="1"/>
  <c r="F79" i="12" s="1"/>
  <c r="F85" i="12" l="1"/>
  <c r="F83" i="12"/>
  <c r="G67" i="12"/>
  <c r="G79" i="12" l="1"/>
  <c r="G85" i="12"/>
  <c r="F91" i="12"/>
  <c r="F88" i="12"/>
  <c r="F89" i="12" l="1"/>
  <c r="G83" i="12"/>
  <c r="F93" i="12"/>
  <c r="G93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<sst xmlns="http://schemas.openxmlformats.org/spreadsheetml/2006/main" count="589" uniqueCount="205">
  <si>
    <t>Material</t>
  </si>
  <si>
    <t>Units</t>
  </si>
  <si>
    <t>Total</t>
  </si>
  <si>
    <t>Price</t>
  </si>
  <si>
    <t>Labor</t>
  </si>
  <si>
    <t>Mark up (40%)</t>
  </si>
  <si>
    <t>roll</t>
  </si>
  <si>
    <t>bundle</t>
  </si>
  <si>
    <t>box</t>
  </si>
  <si>
    <t>sq</t>
  </si>
  <si>
    <t>total</t>
  </si>
  <si>
    <t>tax</t>
  </si>
  <si>
    <t>marked up 40%</t>
  </si>
  <si>
    <t>Subtotal</t>
  </si>
  <si>
    <t>Shingle Mate (4sq roll)</t>
  </si>
  <si>
    <t>tube</t>
  </si>
  <si>
    <t>pcs</t>
  </si>
  <si>
    <t>ea</t>
  </si>
  <si>
    <t>10' length</t>
  </si>
  <si>
    <t>pack/100</t>
  </si>
  <si>
    <t>white 24" x50' roll Alum coilstock</t>
  </si>
  <si>
    <t>3"-4" universal pipe boot</t>
  </si>
  <si>
    <t>1.25"-3" universal pipe boot</t>
  </si>
  <si>
    <t>Typical Labor #s</t>
  </si>
  <si>
    <t>Cobra Coil Ridge Vent (20' roll)</t>
  </si>
  <si>
    <t>CertainTeed WinterGuard(2 sq roll)</t>
  </si>
  <si>
    <t>CertainTeed RoofersSelect (4sq roll)</t>
  </si>
  <si>
    <t>Ridge Caps ShadowRidge (30lf/bundle)</t>
  </si>
  <si>
    <t>CertainTeed</t>
  </si>
  <si>
    <t>Accessories</t>
  </si>
  <si>
    <t>Hi Perf Starter Strip (100lf bundle)</t>
  </si>
  <si>
    <t>Misc</t>
  </si>
  <si>
    <t>Shipping</t>
  </si>
  <si>
    <t>sheet</t>
  </si>
  <si>
    <t>misc</t>
  </si>
  <si>
    <t>CertainTeed WinterGuard High Temp(2 sq roll)</t>
  </si>
  <si>
    <t>CertainTeed Diamond Deck (10sq roll)</t>
  </si>
  <si>
    <t>sf</t>
  </si>
  <si>
    <t>WeatherWatch (2sq roll)(3x66.6)</t>
  </si>
  <si>
    <t>Address:</t>
  </si>
  <si>
    <t>Alum Step Flashing 8x10 (3/lf)</t>
  </si>
  <si>
    <t>1/2" CDX Plywood</t>
  </si>
  <si>
    <t>Mark up margin</t>
  </si>
  <si>
    <t>total at margin</t>
  </si>
  <si>
    <t>sales/use tax</t>
  </si>
  <si>
    <t>CT Only</t>
  </si>
  <si>
    <t>8" white drip edge .019" F8</t>
  </si>
  <si>
    <t>TimberTex Ridge Caps (20lf/bundle)</t>
  </si>
  <si>
    <t>StormGuard (2 sq roll)</t>
  </si>
  <si>
    <t>chimney lead</t>
  </si>
  <si>
    <t>15 pound felt (4.3sq roll)</t>
  </si>
  <si>
    <t>CertainTeed Landmark Pro</t>
  </si>
  <si>
    <t>Ridge Caps CedarCrest (20lf/bundle)</t>
  </si>
  <si>
    <t>12" filtered Ridge Vent (4' pc)</t>
  </si>
  <si>
    <t>SwiftStart Starter Strip (116lf bundle)</t>
  </si>
  <si>
    <r>
      <t xml:space="preserve">new construction less than 8:12 </t>
    </r>
    <r>
      <rPr>
        <b/>
        <sz val="10"/>
        <rFont val="Arial"/>
        <family val="2"/>
      </rPr>
      <t>$75/sq</t>
    </r>
  </si>
  <si>
    <r>
      <t xml:space="preserve">tear off 1 layer less than 8:12 </t>
    </r>
    <r>
      <rPr>
        <b/>
        <sz val="10"/>
        <rFont val="Arial"/>
        <family val="2"/>
      </rPr>
      <t>$130/sq</t>
    </r>
  </si>
  <si>
    <r>
      <t xml:space="preserve">tear off 2 layer less than 8:12 </t>
    </r>
    <r>
      <rPr>
        <b/>
        <sz val="10"/>
        <rFont val="Arial"/>
        <family val="2"/>
      </rPr>
      <t>$150/sq</t>
    </r>
  </si>
  <si>
    <t>MA sales tax</t>
  </si>
  <si>
    <t>Add ons</t>
  </si>
  <si>
    <t>Sell Point with Financing</t>
  </si>
  <si>
    <t>merchant fee</t>
  </si>
  <si>
    <t>%  Financing Fee</t>
  </si>
  <si>
    <r>
      <t xml:space="preserve">tear off 1 layer 8:12 and steeper </t>
    </r>
    <r>
      <rPr>
        <b/>
        <sz val="10"/>
        <rFont val="Arial"/>
        <family val="2"/>
      </rPr>
      <t>$140/sq</t>
    </r>
  </si>
  <si>
    <r>
      <t xml:space="preserve">new construction 8:12 and steeper </t>
    </r>
    <r>
      <rPr>
        <b/>
        <sz val="10"/>
        <rFont val="Arial"/>
        <family val="2"/>
      </rPr>
      <t>$85/sq</t>
    </r>
  </si>
  <si>
    <t>Actual</t>
  </si>
  <si>
    <r>
      <t>Eave</t>
    </r>
    <r>
      <rPr>
        <sz val="10"/>
        <rFont val="Arial"/>
        <family val="2"/>
      </rPr>
      <t xml:space="preserve"> length</t>
    </r>
  </si>
  <si>
    <r>
      <t xml:space="preserve">Headwall </t>
    </r>
    <r>
      <rPr>
        <sz val="10"/>
        <rFont val="Arial"/>
        <family val="2"/>
      </rPr>
      <t>length (top of slope ties into vertical wall)</t>
    </r>
  </si>
  <si>
    <r>
      <t>Ridge</t>
    </r>
    <r>
      <rPr>
        <sz val="10"/>
        <rFont val="Arial"/>
        <family val="2"/>
      </rPr>
      <t xml:space="preserve"> length</t>
    </r>
  </si>
  <si>
    <t>Materials</t>
  </si>
  <si>
    <r>
      <rPr>
        <b/>
        <sz val="11"/>
        <color theme="1"/>
        <rFont val="Calibri"/>
        <family val="2"/>
        <scheme val="minor"/>
      </rPr>
      <t>4. Ice and water shield</t>
    </r>
    <r>
      <rPr>
        <sz val="10"/>
        <rFont val="Arial"/>
        <family val="2"/>
      </rPr>
      <t xml:space="preserve"> (67’x3’ or 200 sf rolls) linear footage: Typically,</t>
    </r>
    <r>
      <rPr>
        <b/>
        <sz val="11"/>
        <color theme="1"/>
        <rFont val="Calibri"/>
        <family val="2"/>
        <scheme val="minor"/>
      </rPr>
      <t xml:space="preserve"> WeatherWatch</t>
    </r>
    <r>
      <rPr>
        <sz val="10"/>
        <rFont val="Arial"/>
        <family val="2"/>
      </rPr>
      <t xml:space="preserve"> (Eave x2)+((Valley+Headwall+Sidewall). Add 10 %. Divide by 67’ = # of rolls. LF of Ice and water shield area X 3’ is area needed for step 5.</t>
    </r>
  </si>
  <si>
    <r>
      <t>9. Step flashing</t>
    </r>
    <r>
      <rPr>
        <sz val="10"/>
        <rFont val="Arial"/>
        <family val="2"/>
      </rPr>
      <t>: Sidewall x 3. Add 10 %. Round up to nearest 100. Divide by 100 = # of packs</t>
    </r>
  </si>
  <si>
    <r>
      <t>10. Coil stock</t>
    </r>
    <r>
      <rPr>
        <sz val="10"/>
        <rFont val="Arial"/>
        <family val="2"/>
      </rPr>
      <t>: Headwall, add 10 %. 200 lf of 6” total girth (3”x3”) is in a 24”x50’ roll.</t>
    </r>
  </si>
  <si>
    <r>
      <t>11. Nails</t>
    </r>
    <r>
      <rPr>
        <sz val="10"/>
        <rFont val="Arial"/>
        <family val="2"/>
      </rPr>
      <t>: Shingle squares divide by 15, round up</t>
    </r>
  </si>
  <si>
    <t>other costs</t>
  </si>
  <si>
    <t>14. If a tear off, add for dumpsters. 50 sq of single layer can fit in one 30 yd can. 25sq for 2 layers.</t>
  </si>
  <si>
    <r>
      <t xml:space="preserve">15. Select warranty: System Plus or </t>
    </r>
    <r>
      <rPr>
        <b/>
        <sz val="11"/>
        <color theme="1"/>
        <rFont val="Calibri"/>
        <family val="2"/>
        <scheme val="minor"/>
      </rPr>
      <t>Golden Pledge</t>
    </r>
    <r>
      <rPr>
        <sz val="10"/>
        <rFont val="Arial"/>
        <family val="2"/>
      </rPr>
      <t xml:space="preserve"> (this appears to be broken at the moment)</t>
    </r>
  </si>
  <si>
    <t>16. Other factors: mansard, slates, thicker shingles, degree of difficulty, height (more than 2 stories), deck replacement, etc. This will affect the labor rate. Consult with Robert G</t>
  </si>
  <si>
    <t>17. Put in correct financing charge fee</t>
  </si>
  <si>
    <r>
      <t xml:space="preserve">2. Find all of the below, </t>
    </r>
    <r>
      <rPr>
        <b/>
        <i/>
        <sz val="10"/>
        <rFont val="Arial"/>
        <family val="2"/>
      </rPr>
      <t>without waste</t>
    </r>
    <r>
      <rPr>
        <sz val="10"/>
        <rFont val="Arial"/>
        <family val="2"/>
      </rPr>
      <t>:</t>
    </r>
  </si>
  <si>
    <r>
      <t xml:space="preserve">Rake </t>
    </r>
    <r>
      <rPr>
        <sz val="10"/>
        <rFont val="Arial"/>
        <family val="2"/>
      </rPr>
      <t xml:space="preserve">(some call this Gable) length - multiply by </t>
    </r>
    <r>
      <rPr>
        <b/>
        <sz val="10"/>
        <rFont val="Arial"/>
        <family val="2"/>
      </rPr>
      <t>pitch factor</t>
    </r>
  </si>
  <si>
    <r>
      <t>Sidewall</t>
    </r>
    <r>
      <rPr>
        <sz val="10"/>
        <rFont val="Arial"/>
        <family val="2"/>
      </rPr>
      <t xml:space="preserve"> length (side of slope ties into vertical wall) – multiply by </t>
    </r>
    <r>
      <rPr>
        <b/>
        <sz val="10"/>
        <rFont val="Arial"/>
        <family val="2"/>
      </rPr>
      <t>pitch factor</t>
    </r>
  </si>
  <si>
    <r>
      <t>Valley</t>
    </r>
    <r>
      <rPr>
        <sz val="10"/>
        <rFont val="Arial"/>
        <family val="2"/>
      </rPr>
      <t xml:space="preserve"> length – multiply by </t>
    </r>
    <r>
      <rPr>
        <b/>
        <sz val="10"/>
        <rFont val="Arial"/>
        <family val="2"/>
      </rPr>
      <t>pitch factor</t>
    </r>
    <r>
      <rPr>
        <sz val="10"/>
        <rFont val="Arial"/>
        <family val="2"/>
      </rPr>
      <t xml:space="preserve"> (if 2 different pitches come together, use the steeper of the 2)</t>
    </r>
  </si>
  <si>
    <r>
      <t>Hip</t>
    </r>
    <r>
      <rPr>
        <sz val="10"/>
        <rFont val="Arial"/>
        <family val="2"/>
      </rPr>
      <t xml:space="preserve"> length– multiply by </t>
    </r>
    <r>
      <rPr>
        <b/>
        <sz val="10"/>
        <rFont val="Arial"/>
        <family val="2"/>
      </rPr>
      <t xml:space="preserve">pitch factor </t>
    </r>
    <r>
      <rPr>
        <sz val="10"/>
        <rFont val="Arial"/>
        <family val="2"/>
      </rPr>
      <t>(if 2 different pitches come together, use the steeper of the 2)</t>
    </r>
  </si>
  <si>
    <r>
      <t>7. Caps</t>
    </r>
    <r>
      <rPr>
        <sz val="10"/>
        <rFont val="Arial"/>
        <family val="2"/>
      </rPr>
      <t xml:space="preserve"> (these vary, </t>
    </r>
    <r>
      <rPr>
        <b/>
        <sz val="10"/>
        <rFont val="Arial"/>
        <family val="2"/>
      </rPr>
      <t>TimberTex</t>
    </r>
    <r>
      <rPr>
        <sz val="10"/>
        <rFont val="Arial"/>
        <family val="2"/>
      </rPr>
      <t xml:space="preserve"> you get </t>
    </r>
    <r>
      <rPr>
        <b/>
        <sz val="10"/>
        <color theme="6" tint="-0.499984740745262"/>
        <rFont val="Arial"/>
        <family val="2"/>
      </rPr>
      <t>20</t>
    </r>
    <r>
      <rPr>
        <sz val="10"/>
        <rFont val="Arial"/>
        <family val="2"/>
      </rPr>
      <t xml:space="preserve">’ per bundle, </t>
    </r>
    <r>
      <rPr>
        <b/>
        <sz val="10"/>
        <rFont val="Arial"/>
        <family val="2"/>
      </rPr>
      <t>Seal-A-Ridge</t>
    </r>
    <r>
      <rPr>
        <sz val="10"/>
        <color theme="6" tint="-0.499984740745262"/>
        <rFont val="Arial"/>
        <family val="2"/>
      </rPr>
      <t xml:space="preserve"> </t>
    </r>
    <r>
      <rPr>
        <b/>
        <sz val="10"/>
        <color theme="6" tint="-0.499984740745262"/>
        <rFont val="Arial"/>
        <family val="2"/>
      </rPr>
      <t>25</t>
    </r>
    <r>
      <rPr>
        <sz val="10"/>
        <rFont val="Arial"/>
        <family val="2"/>
      </rPr>
      <t>’ per bundle) : Hip +Ridge, add 10%. Divide by quantity in package = # of bundles</t>
    </r>
  </si>
  <si>
    <r>
      <t>8. Starters</t>
    </r>
    <r>
      <rPr>
        <sz val="10"/>
        <rFont val="Arial"/>
        <family val="2"/>
      </rPr>
      <t xml:space="preserve"> (these vary too, for Timberline HDs, </t>
    </r>
    <r>
      <rPr>
        <b/>
        <sz val="11"/>
        <color theme="1"/>
        <rFont val="Calibri"/>
        <family val="2"/>
        <scheme val="minor"/>
      </rPr>
      <t>ProStart</t>
    </r>
    <r>
      <rPr>
        <sz val="10"/>
        <rFont val="Arial"/>
        <family val="2"/>
      </rPr>
      <t xml:space="preserve">s cover </t>
    </r>
    <r>
      <rPr>
        <b/>
        <sz val="10"/>
        <color theme="6" tint="-0.499984740745262"/>
        <rFont val="Arial"/>
        <family val="2"/>
      </rPr>
      <t>120</t>
    </r>
    <r>
      <rPr>
        <sz val="10"/>
        <rFont val="Arial"/>
        <family val="2"/>
      </rPr>
      <t xml:space="preserve">’ per bundle): Eave + Rake, add 10%. Divide by qty in package = # of bundles. Check requirements for different shingles. WeatherMax </t>
    </r>
    <r>
      <rPr>
        <b/>
        <sz val="10"/>
        <color theme="6" tint="-0.499984740745262"/>
        <rFont val="Arial"/>
        <family val="2"/>
      </rPr>
      <t>50</t>
    </r>
    <r>
      <rPr>
        <sz val="10"/>
        <rFont val="Arial"/>
        <family val="2"/>
      </rPr>
      <t xml:space="preserve">' or </t>
    </r>
    <r>
      <rPr>
        <b/>
        <sz val="10"/>
        <color theme="6" tint="-0.499984740745262"/>
        <rFont val="Arial"/>
        <family val="2"/>
      </rPr>
      <t>100</t>
    </r>
    <r>
      <rPr>
        <sz val="10"/>
        <rFont val="Arial"/>
        <family val="2"/>
      </rPr>
      <t>'</t>
    </r>
  </si>
  <si>
    <t># of pipes</t>
  </si>
  <si>
    <t>13. Pipe boots</t>
  </si>
  <si>
    <t># of Layers</t>
  </si>
  <si>
    <t>Pitch</t>
  </si>
  <si>
    <t>auto-calc</t>
  </si>
  <si>
    <t>All Blue auto-filled from take-off page - make sure make sense</t>
  </si>
  <si>
    <t>verify and manually fill in any optional purple products - if used</t>
  </si>
  <si>
    <t>13. Adjust Labor rate based on chart at bottom left of spreadsheet.</t>
  </si>
  <si>
    <t xml:space="preserve">Wood shakes add </t>
  </si>
  <si>
    <t xml:space="preserve">Strip/replace valleys only </t>
  </si>
  <si>
    <t xml:space="preserve">Mansards add </t>
  </si>
  <si>
    <t xml:space="preserve">hand sealing add </t>
  </si>
  <si>
    <t>new construction less than 8:12</t>
  </si>
  <si>
    <t>new construction 8:12 and steeper</t>
  </si>
  <si>
    <t xml:space="preserve">New construction mansards </t>
  </si>
  <si>
    <t>tear off 1 layer less than 8:12</t>
  </si>
  <si>
    <t>tear off 1 layer 8:12 and steeper</t>
  </si>
  <si>
    <t>tear off 2 layer less than 8:12</t>
  </si>
  <si>
    <t>tear off 2 layer 8:12 and steeper</t>
  </si>
  <si>
    <t>Connectict Sales tax on Commercial re-roofing! Does not apply to residential or New Construction</t>
  </si>
  <si>
    <t>Trapezoid Calculator</t>
  </si>
  <si>
    <t>Edge 1</t>
  </si>
  <si>
    <t>Edge 2</t>
  </si>
  <si>
    <t>Height</t>
  </si>
  <si>
    <t>Calculated SF</t>
  </si>
  <si>
    <t>ft</t>
  </si>
  <si>
    <t>sft</t>
  </si>
  <si>
    <t>Triangle Calculator</t>
  </si>
  <si>
    <t>Edge 3</t>
  </si>
  <si>
    <t>Hypotenuse Calculator</t>
  </si>
  <si>
    <t>Slope</t>
  </si>
  <si>
    <t>Horizontal Length</t>
  </si>
  <si>
    <t>Calculated Length</t>
  </si>
  <si>
    <t>in. / ft.</t>
  </si>
  <si>
    <t>OR</t>
  </si>
  <si>
    <t>Yes/No</t>
  </si>
  <si>
    <t>QTY</t>
  </si>
  <si>
    <t>Felt buster (10 sq coverage)</t>
  </si>
  <si>
    <r>
      <t xml:space="preserve">5. Felt Buster </t>
    </r>
    <r>
      <rPr>
        <sz val="11"/>
        <color theme="1"/>
        <rFont val="Calibri"/>
        <family val="2"/>
        <scheme val="minor"/>
      </rPr>
      <t>(1000 sf rolls):  roof area – Ice and water area, from step 4. Add 10 %. Divide by 1000 = # of rolls</t>
    </r>
    <r>
      <rPr>
        <b/>
        <sz val="11"/>
        <color theme="1"/>
        <rFont val="Calibri"/>
        <family val="2"/>
        <scheme val="minor"/>
      </rPr>
      <t xml:space="preserve">
OR ShingleMate</t>
    </r>
    <r>
      <rPr>
        <sz val="10"/>
        <rFont val="Arial"/>
        <family val="2"/>
      </rPr>
      <t xml:space="preserve"> (4’x100’ or 400 sf rolls): roof area – Ice and water area, from step 4. Add 10 %. Divide by 400 = # of rolls</t>
    </r>
  </si>
  <si>
    <t>GAF-Timberline HDZ</t>
  </si>
  <si>
    <r>
      <t>6. Shingles</t>
    </r>
    <r>
      <rPr>
        <sz val="10"/>
        <rFont val="Arial"/>
        <family val="2"/>
      </rPr>
      <t>: roof area, add 5%. Divide by 100 = # squares. Multiply by 3 to get # of bundles, or by 1 to get # squares</t>
    </r>
  </si>
  <si>
    <t>Prostart Starter Strip (120lf bundle)</t>
  </si>
  <si>
    <t>*** (if mansard, slates, thicker shingles, 3+ stories, deck replacement)</t>
  </si>
  <si>
    <t>Other labor rate per sq*** - enter in C152</t>
  </si>
  <si>
    <t xml:space="preserve">Other flat labor amount (cost)*** - enter in C153 </t>
  </si>
  <si>
    <t>Customer Name:</t>
  </si>
  <si>
    <t xml:space="preserve">City / State / Zip: </t>
  </si>
  <si>
    <t>Measurements</t>
  </si>
  <si>
    <r>
      <t xml:space="preserve">1. Find </t>
    </r>
    <r>
      <rPr>
        <b/>
        <sz val="11"/>
        <color theme="1"/>
        <rFont val="Calibri"/>
        <family val="2"/>
        <scheme val="minor"/>
      </rPr>
      <t>area</t>
    </r>
    <r>
      <rPr>
        <sz val="10"/>
        <rFont val="Arial"/>
        <family val="2"/>
      </rPr>
      <t xml:space="preserve"> of roof </t>
    </r>
    <r>
      <rPr>
        <b/>
        <i/>
        <sz val="11"/>
        <color theme="1"/>
        <rFont val="Calibri"/>
        <family val="2"/>
        <scheme val="minor"/>
      </rPr>
      <t>without waste</t>
    </r>
    <r>
      <rPr>
        <sz val="10"/>
        <rFont val="Arial"/>
        <family val="2"/>
      </rPr>
      <t xml:space="preserve">. Break out different areas of different pitches, apply pitch factor. </t>
    </r>
  </si>
  <si>
    <t>Manually input all green fields</t>
  </si>
  <si>
    <t>Name:</t>
  </si>
  <si>
    <t># of Chimney</t>
  </si>
  <si>
    <t>GAF- Slateline 30yr</t>
  </si>
  <si>
    <t>Seal-A-Ridge Caps (25lf/bundle)</t>
  </si>
  <si>
    <t>Nails 1-1/4" coil (15sq/box)</t>
  </si>
  <si>
    <t>Geocel 3900</t>
  </si>
  <si>
    <t>UOM</t>
  </si>
  <si>
    <t>Cobra Snow Country Advanced Ridge Vent (4' pc)</t>
  </si>
  <si>
    <t>Lift Rental</t>
  </si>
  <si>
    <t>Ideal Sell Point</t>
  </si>
  <si>
    <t>Absolute Minimum</t>
  </si>
  <si>
    <t>Dumpsters</t>
  </si>
  <si>
    <t>Hotel</t>
  </si>
  <si>
    <t>Beacon Crane</t>
  </si>
  <si>
    <t>Taxable</t>
  </si>
  <si>
    <t>Extended Warranty</t>
  </si>
  <si>
    <t>Not PW</t>
  </si>
  <si>
    <t>GAF</t>
  </si>
  <si>
    <t>Broan Vent kit</t>
  </si>
  <si>
    <t>Lomanco 750 Roof Vent</t>
  </si>
  <si>
    <t>WeatherBlocker Starter Strip (100lf &lt;6" exp; 50lf bundle &gt;6" exp)</t>
  </si>
  <si>
    <t>6"-8" universal pipe boot</t>
  </si>
  <si>
    <t>SF of actual roof area without waste. Includes pitch factor.</t>
  </si>
  <si>
    <t xml:space="preserve">CertainTeed Premium </t>
  </si>
  <si>
    <t>Light Green prices current as of 3/1/21</t>
  </si>
  <si>
    <t>Name</t>
  </si>
  <si>
    <t>Subcontractor</t>
  </si>
  <si>
    <t>Labor Quoted By</t>
  </si>
  <si>
    <r>
      <t>3. Drip Edge</t>
    </r>
    <r>
      <rPr>
        <sz val="10"/>
        <rFont val="Arial"/>
        <family val="2"/>
      </rPr>
      <t xml:space="preserve"> (10’ pcs): Add eave + rake. Add 20% (typically F8 white .019 aluminum)</t>
    </r>
  </si>
  <si>
    <t>Deck Armor (10sq roll)</t>
  </si>
  <si>
    <t>CertainTeed RoofRunner (10sq roll)</t>
  </si>
  <si>
    <t>No</t>
  </si>
  <si>
    <t>Shingle Manufacturer</t>
  </si>
  <si>
    <t>CertainTeed Landmark</t>
  </si>
  <si>
    <t>Waste %</t>
  </si>
  <si>
    <t>Coverage</t>
  </si>
  <si>
    <t>With Waste</t>
  </si>
  <si>
    <t>12" 50lb roll</t>
  </si>
  <si>
    <t>Outside CMA</t>
  </si>
  <si>
    <t>20 yards - 30sq single layer, 15sq 2 layers. 4 Tons</t>
  </si>
  <si>
    <t>30 yards - 50sq of single layer, 25sq 2 layers. 5 Tons</t>
  </si>
  <si>
    <t>15 yards - 25sq  single layer, 12.5sq  2 layers. 3 Tons</t>
  </si>
  <si>
    <t>Overage Fee (per Ton)</t>
  </si>
  <si>
    <t>as measured per roof plan, without pitch factor</t>
  </si>
  <si>
    <t>Roof Area with pitch factor</t>
  </si>
  <si>
    <t>with pitch factored in</t>
  </si>
  <si>
    <t>GAF Golden Pledge</t>
  </si>
  <si>
    <r>
      <t>12. Ridge vent</t>
    </r>
    <r>
      <rPr>
        <sz val="10"/>
        <rFont val="Arial"/>
        <family val="2"/>
      </rPr>
      <t xml:space="preserve">: ridge divided by </t>
    </r>
    <r>
      <rPr>
        <b/>
        <sz val="10"/>
        <color theme="6" tint="-0.499984740745262"/>
        <rFont val="Arial"/>
        <family val="2"/>
      </rPr>
      <t>20</t>
    </r>
    <r>
      <rPr>
        <sz val="10"/>
        <rFont val="Arial"/>
        <family val="2"/>
      </rPr>
      <t xml:space="preserve"> = # of 20’ </t>
    </r>
    <r>
      <rPr>
        <b/>
        <sz val="11"/>
        <color theme="1"/>
        <rFont val="Calibri"/>
        <family val="2"/>
        <scheme val="minor"/>
      </rPr>
      <t>CobraCoil</t>
    </r>
    <r>
      <rPr>
        <sz val="10"/>
        <rFont val="Arial"/>
        <family val="2"/>
      </rPr>
      <t xml:space="preserve">s. Or divide by </t>
    </r>
    <r>
      <rPr>
        <b/>
        <sz val="10"/>
        <color theme="6" tint="-0.499984740745262"/>
        <rFont val="Arial"/>
        <family val="2"/>
      </rPr>
      <t>4</t>
    </r>
    <r>
      <rPr>
        <sz val="10"/>
        <rFont val="Arial"/>
        <family val="2"/>
      </rPr>
      <t xml:space="preserve"> for pieces of </t>
    </r>
    <r>
      <rPr>
        <b/>
        <sz val="11"/>
        <color theme="1"/>
        <rFont val="Calibri"/>
        <family val="2"/>
        <scheme val="minor"/>
      </rPr>
      <t>SnowCountry/ShingleVent</t>
    </r>
  </si>
  <si>
    <t>Sub Total</t>
  </si>
  <si>
    <t>Samuel Kariuki</t>
  </si>
  <si>
    <t>22 Douglas Street, Worcester MA 01603</t>
  </si>
  <si>
    <t>Yes</t>
  </si>
  <si>
    <t>David</t>
  </si>
  <si>
    <t>TRI C SA PlyBase Sheet (2 sq roll)</t>
  </si>
  <si>
    <t>TRI C SA Cap Sheet (1 sq roll)</t>
  </si>
  <si>
    <t>EG Roof Nails 2-1/2" 5lb</t>
  </si>
  <si>
    <t>#100 Ultimate flashin cement</t>
  </si>
  <si>
    <r>
      <t xml:space="preserve">tear off 2 layer 8:12 and steeper </t>
    </r>
    <r>
      <rPr>
        <b/>
        <sz val="10"/>
        <rFont val="Arial"/>
        <family val="2"/>
      </rPr>
      <t>$235/sq</t>
    </r>
  </si>
  <si>
    <r>
      <t xml:space="preserve">tear off 3 layer 8:12 and steeper </t>
    </r>
    <r>
      <rPr>
        <b/>
        <sz val="10"/>
        <rFont val="Arial"/>
        <family val="2"/>
      </rPr>
      <t>$255/sq</t>
    </r>
  </si>
  <si>
    <t>Relead Chimney</t>
  </si>
  <si>
    <t>plywood labor</t>
  </si>
  <si>
    <t>Skylight M04</t>
  </si>
  <si>
    <t>Skylight S06</t>
  </si>
  <si>
    <t>EDL Kit</t>
  </si>
  <si>
    <t>CertainTeed 3 Star</t>
  </si>
  <si>
    <t>Gutter Labor</t>
  </si>
  <si>
    <t>Tim Lamoureaux Residence</t>
  </si>
  <si>
    <t>195 Rice Corner Road</t>
  </si>
  <si>
    <t xml:space="preserve">Brookfield. MA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</si>
</sst>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"/>
    <numFmt numFmtId="166" formatCode="&quot;$&quot;#,##0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i/>
      <sz val="12"/>
      <name val="Arial"/>
      <family val="2"/>
    </font>
    <font>
      <sz val="10"/>
      <color indexed="10"/>
      <name val="Arial"/>
      <family val="2"/>
    </font>
    <font>
      <b/>
      <u/>
      <sz val="10"/>
      <name val="Arial"/>
      <family val="2"/>
    </font>
    <font>
      <sz val="10"/>
      <color indexed="22"/>
      <name val="Arial"/>
      <family val="2"/>
    </font>
    <font>
      <sz val="10"/>
      <color indexed="8"/>
      <name val="Arial"/>
      <family val="2"/>
    </font>
    <font>
      <sz val="12"/>
      <color indexed="10"/>
      <name val="Arial"/>
      <family val="2"/>
    </font>
    <font>
      <sz val="10"/>
      <color indexed="53"/>
      <name val="Arial"/>
      <family val="2"/>
    </font>
    <font>
      <b/>
      <sz val="10"/>
      <name val="Arial"/>
      <family val="2"/>
    </font>
    <font>
      <sz val="10"/>
      <color indexed="2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color theme="0" tint="-0.249977111117893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14"/>
      <color rgb="FFFF0000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color theme="6" tint="-0.499984740745262"/>
      <name val="Arial"/>
      <family val="2"/>
    </font>
    <font>
      <sz val="10"/>
      <color theme="6" tint="-0.499984740745262"/>
      <name val="Arial"/>
      <family val="2"/>
    </font>
    <font>
      <b/>
      <sz val="14"/>
      <color rgb="FFFF0000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  <font>
      <sz val="10"/>
      <color theme="0"/>
      <name val="Arial"/>
      <family val="2"/>
    </font>
    <font>
      <b/>
      <sz val="11"/>
      <name val="Arial"/>
      <family val="2"/>
    </font>
    <font>
      <b/>
      <sz val="16"/>
      <color rgb="FFFF0000"/>
      <name val="Arial"/>
      <family val="2"/>
    </font>
    <font>
      <sz val="1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36" fillId="0" borderId="0" applyFont="0" applyFill="0" applyBorder="0" applyAlignment="0" applyProtection="0"/>
  </cellStyleXfs>
  <cellXfs count="242">
    <xf numFmtId="0" fontId="0" fillId="0" borderId="0" xfId="0"/>
    <xf numFmtId="2" fontId="0" fillId="0" borderId="0" xfId="0" applyNumberFormat="1"/>
    <xf numFmtId="3" fontId="0" fillId="0" borderId="0" xfId="0" applyNumberFormat="1"/>
    <xf numFmtId="43" fontId="2" fillId="0" borderId="0" xfId="1"/>
    <xf numFmtId="4" fontId="0" fillId="0" borderId="0" xfId="0" applyNumberFormat="1"/>
    <xf numFmtId="164" fontId="0" fillId="0" borderId="0" xfId="0" applyNumberFormat="1"/>
    <xf numFmtId="164" fontId="6" fillId="0" borderId="0" xfId="0" applyNumberFormat="1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0" borderId="0" xfId="0" applyFont="1"/>
    <xf numFmtId="3" fontId="2" fillId="0" borderId="0" xfId="0" applyNumberFormat="1" applyFont="1"/>
    <xf numFmtId="0" fontId="5" fillId="0" borderId="0" xfId="0" applyFont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0" fillId="0" borderId="0" xfId="0" applyFont="1"/>
    <xf numFmtId="164" fontId="10" fillId="0" borderId="0" xfId="0" applyNumberFormat="1" applyFont="1"/>
    <xf numFmtId="0" fontId="10" fillId="0" borderId="4" xfId="0" applyFont="1" applyBorder="1"/>
    <xf numFmtId="2" fontId="10" fillId="0" borderId="0" xfId="0" applyNumberFormat="1" applyFont="1"/>
    <xf numFmtId="164" fontId="2" fillId="0" borderId="0" xfId="0" applyNumberFormat="1" applyFont="1"/>
    <xf numFmtId="3" fontId="10" fillId="0" borderId="0" xfId="0" applyNumberFormat="1" applyFont="1"/>
    <xf numFmtId="164" fontId="10" fillId="0" borderId="4" xfId="0" applyNumberFormat="1" applyFont="1" applyBorder="1"/>
    <xf numFmtId="2" fontId="2" fillId="0" borderId="0" xfId="0" applyNumberFormat="1" applyFont="1"/>
    <xf numFmtId="2" fontId="8" fillId="0" borderId="0" xfId="0" applyNumberFormat="1" applyFont="1" applyAlignment="1">
      <alignment horizontal="right"/>
    </xf>
    <xf numFmtId="2" fontId="8" fillId="0" borderId="0" xfId="0" applyNumberFormat="1" applyFont="1"/>
    <xf numFmtId="0" fontId="10" fillId="0" borderId="0" xfId="0" applyFont="1" applyAlignment="1">
      <alignment horizontal="right"/>
    </xf>
    <xf numFmtId="164" fontId="10" fillId="0" borderId="0" xfId="1" applyNumberFormat="1" applyFont="1"/>
    <xf numFmtId="0" fontId="11" fillId="0" borderId="0" xfId="0" applyFont="1"/>
    <xf numFmtId="164" fontId="11" fillId="0" borderId="0" xfId="0" applyNumberFormat="1" applyFont="1"/>
    <xf numFmtId="0" fontId="11" fillId="0" borderId="4" xfId="0" applyFont="1" applyBorder="1"/>
    <xf numFmtId="164" fontId="2" fillId="0" borderId="0" xfId="1" applyNumberFormat="1"/>
    <xf numFmtId="0" fontId="0" fillId="0" borderId="4" xfId="0" applyBorder="1" applyAlignment="1">
      <alignment horizontal="right"/>
    </xf>
    <xf numFmtId="0" fontId="2" fillId="0" borderId="0" xfId="0" applyFont="1" applyAlignment="1">
      <alignment horizontal="right"/>
    </xf>
    <xf numFmtId="0" fontId="7" fillId="0" borderId="0" xfId="0" applyFont="1"/>
    <xf numFmtId="0" fontId="4" fillId="0" borderId="0" xfId="0" applyFont="1"/>
    <xf numFmtId="164" fontId="4" fillId="0" borderId="0" xfId="1" applyNumberFormat="1" applyFont="1"/>
    <xf numFmtId="0" fontId="11" fillId="0" borderId="0" xfId="0" applyFont="1" applyAlignment="1">
      <alignment horizontal="right"/>
    </xf>
    <xf numFmtId="0" fontId="5" fillId="0" borderId="0" xfId="0" applyFont="1"/>
    <xf numFmtId="0" fontId="9" fillId="0" borderId="0" xfId="0" applyFont="1"/>
    <xf numFmtId="0" fontId="10" fillId="0" borderId="5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0" fillId="0" borderId="0" xfId="0" applyAlignment="1">
      <alignment horizontal="left" wrapText="1"/>
    </xf>
    <xf numFmtId="0" fontId="10" fillId="0" borderId="5" xfId="0" applyFont="1" applyBorder="1"/>
    <xf numFmtId="2" fontId="11" fillId="0" borderId="0" xfId="0" applyNumberFormat="1" applyFont="1"/>
    <xf numFmtId="0" fontId="13" fillId="0" borderId="0" xfId="0" applyFont="1"/>
    <xf numFmtId="0" fontId="0" fillId="0" borderId="0" xfId="0" applyAlignment="1">
      <alignment horizontal="left"/>
    </xf>
    <xf numFmtId="0" fontId="16" fillId="0" borderId="0" xfId="0" applyFont="1"/>
    <xf numFmtId="2" fontId="16" fillId="0" borderId="0" xfId="0" applyNumberFormat="1" applyFont="1"/>
    <xf numFmtId="4" fontId="16" fillId="0" borderId="0" xfId="0" applyNumberFormat="1" applyFont="1"/>
    <xf numFmtId="0" fontId="15" fillId="0" borderId="5" xfId="0" applyFont="1" applyBorder="1" applyAlignment="1">
      <alignment horizontal="right"/>
    </xf>
    <xf numFmtId="0" fontId="15" fillId="0" borderId="9" xfId="0" applyFont="1" applyBorder="1" applyAlignment="1">
      <alignment horizontal="right"/>
    </xf>
    <xf numFmtId="0" fontId="15" fillId="0" borderId="10" xfId="0" applyFont="1" applyBorder="1"/>
    <xf numFmtId="164" fontId="15" fillId="0" borderId="10" xfId="0" applyNumberFormat="1" applyFont="1" applyBorder="1"/>
    <xf numFmtId="0" fontId="0" fillId="0" borderId="5" xfId="0" applyBorder="1"/>
    <xf numFmtId="164" fontId="14" fillId="0" borderId="0" xfId="0" applyNumberFormat="1" applyFont="1"/>
    <xf numFmtId="0" fontId="17" fillId="0" borderId="0" xfId="0" applyFont="1" applyAlignment="1">
      <alignment horizontal="right"/>
    </xf>
    <xf numFmtId="164" fontId="17" fillId="0" borderId="0" xfId="0" applyNumberFormat="1" applyFont="1"/>
    <xf numFmtId="164" fontId="11" fillId="0" borderId="4" xfId="0" applyNumberFormat="1" applyFont="1" applyBorder="1"/>
    <xf numFmtId="0" fontId="2" fillId="0" borderId="2" xfId="0" applyFont="1" applyBorder="1" applyAlignment="1">
      <alignment horizontal="right"/>
    </xf>
    <xf numFmtId="164" fontId="0" fillId="0" borderId="2" xfId="0" applyNumberFormat="1" applyBorder="1"/>
    <xf numFmtId="0" fontId="0" fillId="0" borderId="10" xfId="0" applyBorder="1" applyAlignment="1">
      <alignment horizontal="right"/>
    </xf>
    <xf numFmtId="164" fontId="0" fillId="0" borderId="10" xfId="0" applyNumberFormat="1" applyBorder="1"/>
    <xf numFmtId="164" fontId="0" fillId="0" borderId="11" xfId="0" applyNumberFormat="1" applyBorder="1"/>
    <xf numFmtId="0" fontId="4" fillId="0" borderId="0" xfId="0" applyFont="1" applyAlignment="1">
      <alignment horizontal="right"/>
    </xf>
    <xf numFmtId="0" fontId="2" fillId="6" borderId="7" xfId="0" applyFont="1" applyFill="1" applyBorder="1"/>
    <xf numFmtId="0" fontId="0" fillId="6" borderId="7" xfId="0" applyFill="1" applyBorder="1"/>
    <xf numFmtId="0" fontId="2" fillId="6" borderId="8" xfId="0" applyFont="1" applyFill="1" applyBorder="1"/>
    <xf numFmtId="0" fontId="21" fillId="0" borderId="0" xfId="0" applyFont="1"/>
    <xf numFmtId="164" fontId="6" fillId="6" borderId="0" xfId="0" applyNumberFormat="1" applyFont="1" applyFill="1"/>
    <xf numFmtId="164" fontId="2" fillId="6" borderId="4" xfId="0" applyNumberFormat="1" applyFont="1" applyFill="1" applyBorder="1"/>
    <xf numFmtId="0" fontId="2" fillId="6" borderId="0" xfId="0" applyFont="1" applyFill="1"/>
    <xf numFmtId="0" fontId="0" fillId="6" borderId="0" xfId="0" applyFill="1"/>
    <xf numFmtId="0" fontId="23" fillId="0" borderId="0" xfId="0" applyFont="1" applyAlignment="1">
      <alignment horizontal="center"/>
    </xf>
    <xf numFmtId="0" fontId="23" fillId="0" borderId="0" xfId="0" applyFont="1"/>
    <xf numFmtId="0" fontId="0" fillId="0" borderId="12" xfId="0" applyBorder="1"/>
    <xf numFmtId="0" fontId="0" fillId="0" borderId="13" xfId="0" applyBorder="1"/>
    <xf numFmtId="0" fontId="23" fillId="0" borderId="0" xfId="0" applyFont="1" applyAlignment="1">
      <alignment horizontal="left" vertical="center" indent="1"/>
    </xf>
    <xf numFmtId="0" fontId="0" fillId="3" borderId="13" xfId="0" applyFill="1" applyBorder="1"/>
    <xf numFmtId="164" fontId="0" fillId="0" borderId="5" xfId="0" applyNumberFormat="1" applyBorder="1"/>
    <xf numFmtId="0" fontId="22" fillId="8" borderId="0" xfId="0" applyFont="1" applyFill="1"/>
    <xf numFmtId="0" fontId="28" fillId="0" borderId="0" xfId="0" applyFont="1"/>
    <xf numFmtId="0" fontId="2" fillId="8" borderId="0" xfId="0" applyFont="1" applyFill="1"/>
    <xf numFmtId="0" fontId="2" fillId="11" borderId="0" xfId="0" applyFont="1" applyFill="1"/>
    <xf numFmtId="0" fontId="29" fillId="10" borderId="13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10" xfId="0" applyFill="1" applyBorder="1"/>
    <xf numFmtId="0" fontId="0" fillId="6" borderId="11" xfId="0" applyFill="1" applyBorder="1"/>
    <xf numFmtId="0" fontId="9" fillId="6" borderId="2" xfId="0" applyFont="1" applyFill="1" applyBorder="1"/>
    <xf numFmtId="0" fontId="2" fillId="6" borderId="4" xfId="0" applyFont="1" applyFill="1" applyBorder="1"/>
    <xf numFmtId="0" fontId="2" fillId="6" borderId="11" xfId="0" applyFont="1" applyFill="1" applyBorder="1"/>
    <xf numFmtId="0" fontId="0" fillId="6" borderId="14" xfId="0" applyFill="1" applyBorder="1"/>
    <xf numFmtId="166" fontId="0" fillId="6" borderId="15" xfId="0" applyNumberFormat="1" applyFill="1" applyBorder="1"/>
    <xf numFmtId="166" fontId="0" fillId="6" borderId="16" xfId="0" applyNumberFormat="1" applyFill="1" applyBorder="1"/>
    <xf numFmtId="0" fontId="9" fillId="6" borderId="3" xfId="0" applyFont="1" applyFill="1" applyBorder="1"/>
    <xf numFmtId="2" fontId="30" fillId="12" borderId="13" xfId="0" applyNumberFormat="1" applyFont="1" applyFill="1" applyBorder="1"/>
    <xf numFmtId="164" fontId="0" fillId="8" borderId="0" xfId="0" applyNumberFormat="1" applyFill="1"/>
    <xf numFmtId="2" fontId="20" fillId="0" borderId="0" xfId="0" applyNumberFormat="1" applyFont="1" applyAlignment="1">
      <alignment horizontal="left"/>
    </xf>
    <xf numFmtId="164" fontId="2" fillId="0" borderId="0" xfId="1" applyNumberFormat="1" applyFont="1"/>
    <xf numFmtId="0" fontId="31" fillId="0" borderId="0" xfId="0" applyFont="1"/>
    <xf numFmtId="0" fontId="32" fillId="0" borderId="0" xfId="0" applyFont="1" applyAlignment="1">
      <alignment horizontal="center" vertical="center"/>
    </xf>
    <xf numFmtId="0" fontId="2" fillId="5" borderId="8" xfId="0" applyFont="1" applyFill="1" applyBorder="1"/>
    <xf numFmtId="0" fontId="2" fillId="5" borderId="6" xfId="0" applyFont="1" applyFill="1" applyBorder="1"/>
    <xf numFmtId="0" fontId="2" fillId="6" borderId="6" xfId="0" applyFont="1" applyFill="1" applyBorder="1"/>
    <xf numFmtId="44" fontId="31" fillId="0" borderId="0" xfId="2" applyFont="1" applyAlignment="1">
      <alignment horizontal="right"/>
    </xf>
    <xf numFmtId="44" fontId="31" fillId="0" borderId="0" xfId="2" applyFont="1"/>
    <xf numFmtId="44" fontId="2" fillId="5" borderId="0" xfId="2" applyFont="1" applyFill="1"/>
    <xf numFmtId="0" fontId="0" fillId="8" borderId="8" xfId="0" applyFill="1" applyBorder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0" fillId="8" borderId="13" xfId="0" applyFill="1" applyBorder="1" applyAlignment="1">
      <alignment horizontal="right" vertical="center"/>
    </xf>
    <xf numFmtId="0" fontId="0" fillId="3" borderId="13" xfId="0" applyFill="1" applyBorder="1" applyAlignment="1">
      <alignment horizontal="right" vertical="center"/>
    </xf>
    <xf numFmtId="1" fontId="0" fillId="3" borderId="13" xfId="0" applyNumberFormat="1" applyFill="1" applyBorder="1" applyAlignment="1">
      <alignment horizontal="right" vertical="center"/>
    </xf>
    <xf numFmtId="0" fontId="8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34" fillId="0" borderId="0" xfId="0" applyFont="1" applyAlignment="1">
      <alignment horizontal="right"/>
    </xf>
    <xf numFmtId="0" fontId="34" fillId="0" borderId="0" xfId="0" applyFont="1"/>
    <xf numFmtId="0" fontId="35" fillId="0" borderId="0" xfId="0" applyFont="1" applyAlignment="1">
      <alignment horizontal="right"/>
    </xf>
    <xf numFmtId="0" fontId="34" fillId="0" borderId="0" xfId="0" applyFont="1" applyAlignment="1">
      <alignment wrapText="1"/>
    </xf>
    <xf numFmtId="0" fontId="15" fillId="0" borderId="0" xfId="0" applyFont="1"/>
    <xf numFmtId="164" fontId="15" fillId="0" borderId="0" xfId="0" applyNumberFormat="1" applyFont="1"/>
    <xf numFmtId="2" fontId="15" fillId="0" borderId="0" xfId="0" applyNumberFormat="1" applyFont="1"/>
    <xf numFmtId="0" fontId="19" fillId="0" borderId="0" xfId="0" applyFont="1"/>
    <xf numFmtId="2" fontId="19" fillId="0" borderId="0" xfId="0" applyNumberFormat="1" applyFont="1"/>
    <xf numFmtId="164" fontId="19" fillId="0" borderId="0" xfId="0" applyNumberFormat="1" applyFont="1"/>
    <xf numFmtId="0" fontId="18" fillId="0" borderId="0" xfId="0" applyFont="1"/>
    <xf numFmtId="2" fontId="18" fillId="0" borderId="0" xfId="0" applyNumberFormat="1" applyFont="1"/>
    <xf numFmtId="164" fontId="18" fillId="0" borderId="0" xfId="0" applyNumberFormat="1" applyFont="1"/>
    <xf numFmtId="164" fontId="17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4" fontId="4" fillId="0" borderId="0" xfId="0" applyNumberFormat="1" applyFont="1"/>
    <xf numFmtId="0" fontId="4" fillId="0" borderId="0" xfId="0" applyFont="1" applyAlignment="1">
      <alignment horizontal="left"/>
    </xf>
    <xf numFmtId="3" fontId="2" fillId="0" borderId="0" xfId="0" applyNumberFormat="1" applyFont="1" applyAlignment="1">
      <alignment horizontal="right"/>
    </xf>
    <xf numFmtId="1" fontId="2" fillId="0" borderId="0" xfId="0" applyNumberFormat="1" applyFont="1"/>
    <xf numFmtId="164" fontId="2" fillId="0" borderId="0" xfId="2" applyNumberFormat="1" applyFont="1" applyFill="1" applyBorder="1"/>
    <xf numFmtId="164" fontId="6" fillId="9" borderId="0" xfId="0" applyNumberFormat="1" applyFont="1" applyFill="1"/>
    <xf numFmtId="164" fontId="0" fillId="9" borderId="0" xfId="0" applyNumberFormat="1" applyFill="1" applyAlignment="1">
      <alignment horizontal="right"/>
    </xf>
    <xf numFmtId="0" fontId="2" fillId="9" borderId="0" xfId="0" applyFont="1" applyFill="1"/>
    <xf numFmtId="0" fontId="0" fillId="9" borderId="4" xfId="0" applyFill="1" applyBorder="1"/>
    <xf numFmtId="164" fontId="0" fillId="6" borderId="0" xfId="0" applyNumberFormat="1" applyFill="1" applyAlignment="1">
      <alignment horizontal="right"/>
    </xf>
    <xf numFmtId="0" fontId="0" fillId="13" borderId="0" xfId="0" applyFill="1" applyAlignment="1">
      <alignment horizontal="right"/>
    </xf>
    <xf numFmtId="2" fontId="0" fillId="3" borderId="0" xfId="0" applyNumberFormat="1" applyFill="1"/>
    <xf numFmtId="0" fontId="0" fillId="3" borderId="0" xfId="0" applyFill="1" applyAlignment="1">
      <alignment horizontal="right"/>
    </xf>
    <xf numFmtId="164" fontId="0" fillId="3" borderId="0" xfId="0" applyNumberFormat="1" applyFill="1"/>
    <xf numFmtId="164" fontId="6" fillId="3" borderId="0" xfId="0" applyNumberFormat="1" applyFont="1" applyFill="1"/>
    <xf numFmtId="0" fontId="15" fillId="8" borderId="0" xfId="0" applyFont="1" applyFill="1"/>
    <xf numFmtId="0" fontId="10" fillId="0" borderId="1" xfId="0" applyFont="1" applyBorder="1" applyAlignment="1">
      <alignment horizontal="right"/>
    </xf>
    <xf numFmtId="0" fontId="15" fillId="8" borderId="2" xfId="0" applyFont="1" applyFill="1" applyBorder="1"/>
    <xf numFmtId="0" fontId="15" fillId="0" borderId="2" xfId="0" applyFont="1" applyBorder="1"/>
    <xf numFmtId="164" fontId="15" fillId="0" borderId="2" xfId="0" applyNumberFormat="1" applyFont="1" applyBorder="1"/>
    <xf numFmtId="3" fontId="15" fillId="11" borderId="0" xfId="0" applyNumberFormat="1" applyFont="1" applyFill="1"/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15" fillId="0" borderId="1" xfId="0" applyFont="1" applyBorder="1" applyAlignment="1">
      <alignment horizontal="right"/>
    </xf>
    <xf numFmtId="164" fontId="15" fillId="9" borderId="2" xfId="0" applyNumberFormat="1" applyFont="1" applyFill="1" applyBorder="1"/>
    <xf numFmtId="164" fontId="15" fillId="0" borderId="3" xfId="0" applyNumberFormat="1" applyFont="1" applyBorder="1"/>
    <xf numFmtId="0" fontId="10" fillId="11" borderId="0" xfId="0" applyFont="1" applyFill="1"/>
    <xf numFmtId="164" fontId="15" fillId="9" borderId="0" xfId="0" applyNumberFormat="1" applyFont="1" applyFill="1"/>
    <xf numFmtId="3" fontId="15" fillId="8" borderId="0" xfId="0" applyNumberFormat="1" applyFont="1" applyFill="1"/>
    <xf numFmtId="3" fontId="15" fillId="8" borderId="10" xfId="0" applyNumberFormat="1" applyFont="1" applyFill="1" applyBorder="1"/>
    <xf numFmtId="164" fontId="15" fillId="9" borderId="10" xfId="0" applyNumberFormat="1" applyFont="1" applyFill="1" applyBorder="1"/>
    <xf numFmtId="0" fontId="10" fillId="0" borderId="9" xfId="0" applyFont="1" applyBorder="1" applyAlignment="1">
      <alignment horizontal="right"/>
    </xf>
    <xf numFmtId="0" fontId="10" fillId="0" borderId="10" xfId="0" applyFont="1" applyBorder="1"/>
    <xf numFmtId="164" fontId="10" fillId="0" borderId="10" xfId="0" applyNumberFormat="1" applyFont="1" applyBorder="1"/>
    <xf numFmtId="164" fontId="10" fillId="0" borderId="11" xfId="0" applyNumberFormat="1" applyFont="1" applyBorder="1"/>
    <xf numFmtId="164" fontId="10" fillId="0" borderId="2" xfId="0" applyNumberFormat="1" applyFont="1" applyBorder="1"/>
    <xf numFmtId="164" fontId="10" fillId="0" borderId="3" xfId="0" applyNumberFormat="1" applyFont="1" applyBorder="1"/>
    <xf numFmtId="0" fontId="15" fillId="11" borderId="0" xfId="0" applyFont="1" applyFill="1"/>
    <xf numFmtId="3" fontId="10" fillId="11" borderId="0" xfId="0" applyNumberFormat="1" applyFont="1" applyFill="1"/>
    <xf numFmtId="164" fontId="11" fillId="3" borderId="0" xfId="0" applyNumberFormat="1" applyFont="1" applyFill="1" applyAlignment="1">
      <alignment horizontal="right"/>
    </xf>
    <xf numFmtId="0" fontId="4" fillId="6" borderId="13" xfId="0" applyFont="1" applyFill="1" applyBorder="1"/>
    <xf numFmtId="0" fontId="4" fillId="6" borderId="6" xfId="0" applyFont="1" applyFill="1" applyBorder="1"/>
    <xf numFmtId="164" fontId="6" fillId="4" borderId="10" xfId="0" applyNumberFormat="1" applyFont="1" applyFill="1" applyBorder="1"/>
    <xf numFmtId="164" fontId="0" fillId="4" borderId="10" xfId="0" applyNumberFormat="1" applyFill="1" applyBorder="1" applyAlignment="1">
      <alignment horizontal="right"/>
    </xf>
    <xf numFmtId="0" fontId="2" fillId="4" borderId="10" xfId="0" applyFont="1" applyFill="1" applyBorder="1"/>
    <xf numFmtId="0" fontId="2" fillId="4" borderId="11" xfId="0" applyFont="1" applyFill="1" applyBorder="1"/>
    <xf numFmtId="2" fontId="0" fillId="0" borderId="10" xfId="0" applyNumberFormat="1" applyBorder="1"/>
    <xf numFmtId="0" fontId="4" fillId="14" borderId="9" xfId="0" applyFont="1" applyFill="1" applyBorder="1"/>
    <xf numFmtId="0" fontId="15" fillId="11" borderId="10" xfId="0" applyFont="1" applyFill="1" applyBorder="1"/>
    <xf numFmtId="0" fontId="10" fillId="0" borderId="2" xfId="0" applyFont="1" applyBorder="1"/>
    <xf numFmtId="0" fontId="2" fillId="0" borderId="0" xfId="0" applyFont="1" applyAlignment="1">
      <alignment horizontal="center" vertical="center" textRotation="90" wrapText="1"/>
    </xf>
    <xf numFmtId="0" fontId="2" fillId="5" borderId="13" xfId="0" applyFont="1" applyFill="1" applyBorder="1"/>
    <xf numFmtId="0" fontId="2" fillId="6" borderId="13" xfId="0" applyFont="1" applyFill="1" applyBorder="1"/>
    <xf numFmtId="0" fontId="0" fillId="7" borderId="13" xfId="0" applyFill="1" applyBorder="1" applyAlignment="1">
      <alignment horizontal="right" vertical="center"/>
    </xf>
    <xf numFmtId="0" fontId="0" fillId="3" borderId="13" xfId="0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4" fillId="0" borderId="13" xfId="0" applyFont="1" applyBorder="1"/>
    <xf numFmtId="0" fontId="23" fillId="0" borderId="13" xfId="0" applyFont="1" applyBorder="1" applyAlignment="1">
      <alignment horizontal="center"/>
    </xf>
    <xf numFmtId="9" fontId="2" fillId="15" borderId="8" xfId="3" applyFont="1" applyFill="1" applyBorder="1" applyAlignment="1">
      <alignment horizontal="right" vertical="center"/>
    </xf>
    <xf numFmtId="9" fontId="2" fillId="15" borderId="13" xfId="3" applyFont="1" applyFill="1" applyBorder="1" applyAlignment="1">
      <alignment horizontal="right" vertical="center"/>
    </xf>
    <xf numFmtId="165" fontId="2" fillId="16" borderId="8" xfId="0" applyNumberFormat="1" applyFont="1" applyFill="1" applyBorder="1" applyAlignment="1">
      <alignment horizontal="right" vertical="center"/>
    </xf>
    <xf numFmtId="165" fontId="2" fillId="16" borderId="13" xfId="0" applyNumberFormat="1" applyFont="1" applyFill="1" applyBorder="1" applyAlignment="1">
      <alignment horizontal="right" vertical="center"/>
    </xf>
    <xf numFmtId="1" fontId="2" fillId="16" borderId="13" xfId="0" applyNumberFormat="1" applyFont="1" applyFill="1" applyBorder="1" applyAlignment="1">
      <alignment horizontal="right" vertical="center"/>
    </xf>
    <xf numFmtId="44" fontId="4" fillId="11" borderId="0" xfId="2" applyFont="1" applyFill="1"/>
    <xf numFmtId="0" fontId="2" fillId="5" borderId="7" xfId="0" applyFont="1" applyFill="1" applyBorder="1"/>
    <xf numFmtId="0" fontId="2" fillId="0" borderId="0" xfId="0" applyFont="1" applyAlignment="1">
      <alignment horizontal="left" vertical="center" indent="1"/>
    </xf>
    <xf numFmtId="0" fontId="2" fillId="0" borderId="10" xfId="0" applyFont="1" applyBorder="1" applyAlignment="1">
      <alignment horizontal="center" wrapText="1"/>
    </xf>
    <xf numFmtId="0" fontId="23" fillId="0" borderId="10" xfId="0" applyFont="1" applyBorder="1" applyAlignment="1">
      <alignment horizontal="center" wrapText="1"/>
    </xf>
    <xf numFmtId="0" fontId="0" fillId="0" borderId="0" xfId="0" applyAlignment="1">
      <alignment horizontal="right" vertical="center"/>
    </xf>
    <xf numFmtId="0" fontId="0" fillId="3" borderId="19" xfId="0" applyFill="1" applyBorder="1" applyAlignment="1">
      <alignment horizontal="right" vertical="center"/>
    </xf>
    <xf numFmtId="0" fontId="33" fillId="0" borderId="0" xfId="0" applyFont="1" applyAlignment="1">
      <alignment horizontal="center" vertical="center"/>
    </xf>
    <xf numFmtId="0" fontId="23" fillId="0" borderId="5" xfId="0" applyFont="1" applyBorder="1" applyAlignment="1">
      <alignment horizontal="left" vertical="center" indent="1"/>
    </xf>
    <xf numFmtId="0" fontId="23" fillId="0" borderId="0" xfId="0" applyFont="1" applyAlignment="1">
      <alignment horizontal="left" vertical="center" indent="1"/>
    </xf>
    <xf numFmtId="0" fontId="23" fillId="0" borderId="0" xfId="0" applyFont="1" applyAlignment="1">
      <alignment horizontal="center"/>
    </xf>
    <xf numFmtId="0" fontId="2" fillId="0" borderId="5" xfId="0" applyFont="1" applyBorder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0" borderId="0" xfId="0" applyFont="1" applyAlignment="1">
      <alignment horizontal="left"/>
    </xf>
    <xf numFmtId="0" fontId="2" fillId="3" borderId="17" xfId="0" applyFont="1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0" fillId="3" borderId="10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3" fillId="0" borderId="5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23" fillId="0" borderId="5" xfId="0" applyFont="1" applyBorder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2" borderId="6" xfId="0" applyFont="1" applyFill="1" applyBorder="1" applyAlignment="1">
      <alignment horizontal="center" vertical="center" textRotation="90" wrapText="1"/>
    </xf>
    <xf numFmtId="0" fontId="2" fillId="2" borderId="7" xfId="0" applyFont="1" applyFill="1" applyBorder="1" applyAlignment="1">
      <alignment horizontal="center" vertical="center" textRotation="90" wrapText="1"/>
    </xf>
    <xf numFmtId="0" fontId="2" fillId="2" borderId="8" xfId="0" applyFont="1" applyFill="1" applyBorder="1" applyAlignment="1">
      <alignment horizontal="center" vertical="center" textRotation="90" wrapText="1"/>
    </xf>
    <xf numFmtId="0" fontId="0" fillId="2" borderId="6" xfId="0" applyFill="1" applyBorder="1" applyAlignment="1">
      <alignment horizontal="center" vertical="center" textRotation="90" wrapText="1"/>
    </xf>
    <xf numFmtId="0" fontId="0" fillId="2" borderId="7" xfId="0" applyFill="1" applyBorder="1" applyAlignment="1">
      <alignment horizontal="center" vertical="center" textRotation="90" wrapText="1"/>
    </xf>
    <xf numFmtId="2" fontId="2" fillId="0" borderId="6" xfId="0" applyNumberFormat="1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7" fontId="0" fillId="6" borderId="0" xfId="2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textRotation="90"/>
    </xf>
    <xf numFmtId="0" fontId="2" fillId="2" borderId="7" xfId="0" applyFont="1" applyFill="1" applyBorder="1" applyAlignment="1">
      <alignment horizontal="center" vertical="center" textRotation="90"/>
    </xf>
    <xf numFmtId="0" fontId="2" fillId="2" borderId="8" xfId="0" applyFont="1" applyFill="1" applyBorder="1" applyAlignment="1">
      <alignment horizontal="center" vertical="center" textRotation="90"/>
    </xf>
    <xf numFmtId="0" fontId="4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7"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4"/>
  <sheetViews>
    <sheetView topLeftCell="A27" zoomScaleNormal="100" workbookViewId="0">
      <selection activeCell="D12" sqref="D12"/>
    </sheetView>
  </sheetViews>
  <sheetFormatPr defaultRowHeight="12.75" x14ac:dyDescent="0.2"/>
  <cols>
    <col min="1" max="1" width="8.5703125" bestFit="1" customWidth="1"/>
    <col min="2" max="2" width="15.7109375" customWidth="1"/>
    <col min="3" max="3" width="9.28515625" bestFit="1" customWidth="1"/>
    <col min="4" max="4" width="14.28515625" customWidth="1"/>
    <col min="6" max="6" width="20.85546875" bestFit="1" customWidth="1"/>
    <col min="8" max="8" width="10.140625" customWidth="1"/>
  </cols>
  <sheetData>
    <row r="1" spans="1:14" ht="36" customHeight="1" thickBot="1" x14ac:dyDescent="0.25">
      <c r="A1" s="203" t="s">
        <v>135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  <c r="N1" s="203"/>
    </row>
    <row r="2" spans="1:14" ht="18.75" thickBot="1" x14ac:dyDescent="0.3">
      <c r="A2" s="209" t="s">
        <v>131</v>
      </c>
      <c r="B2" s="209"/>
      <c r="C2" s="210"/>
      <c r="D2" s="211"/>
      <c r="E2" s="212"/>
      <c r="F2" s="80"/>
    </row>
    <row r="3" spans="1:14" ht="18.75" thickBot="1" x14ac:dyDescent="0.3">
      <c r="A3" s="209" t="s">
        <v>39</v>
      </c>
      <c r="B3" s="209"/>
      <c r="C3" s="210"/>
      <c r="D3" s="211"/>
      <c r="E3" s="212"/>
      <c r="F3" s="80"/>
    </row>
    <row r="4" spans="1:14" ht="18.75" thickBot="1" x14ac:dyDescent="0.3">
      <c r="A4" s="209" t="s">
        <v>132</v>
      </c>
      <c r="B4" s="209"/>
      <c r="C4" s="213"/>
      <c r="D4" s="214"/>
      <c r="E4" s="215"/>
      <c r="F4" s="80"/>
    </row>
    <row r="5" spans="1:14" ht="18" x14ac:dyDescent="0.25">
      <c r="F5" s="80"/>
    </row>
    <row r="7" spans="1:14" ht="13.5" thickBot="1" x14ac:dyDescent="0.25">
      <c r="B7" s="34" t="s">
        <v>89</v>
      </c>
      <c r="D7" s="34" t="s">
        <v>88</v>
      </c>
      <c r="F7" s="34" t="s">
        <v>168</v>
      </c>
    </row>
    <row r="8" spans="1:14" ht="27.6" customHeight="1" thickBot="1" x14ac:dyDescent="0.25">
      <c r="B8" s="112">
        <v>5</v>
      </c>
      <c r="D8" s="112">
        <v>2</v>
      </c>
      <c r="F8" s="187" t="s">
        <v>153</v>
      </c>
    </row>
    <row r="10" spans="1:14" ht="30.75" customHeight="1" thickBot="1" x14ac:dyDescent="0.3">
      <c r="B10" s="72"/>
      <c r="C10" s="73"/>
      <c r="D10" s="200" t="s">
        <v>180</v>
      </c>
      <c r="E10" s="206" t="s">
        <v>133</v>
      </c>
      <c r="F10" s="206"/>
      <c r="G10" s="206"/>
      <c r="H10" s="206"/>
      <c r="I10" s="206"/>
      <c r="J10" s="206"/>
      <c r="K10" s="206"/>
      <c r="L10" s="206"/>
      <c r="M10" s="206"/>
      <c r="N10" s="206"/>
    </row>
    <row r="11" spans="1:14" ht="30" customHeight="1" x14ac:dyDescent="0.2">
      <c r="C11" s="9"/>
      <c r="D11" s="202">
        <v>2300</v>
      </c>
      <c r="E11" s="207" t="s">
        <v>134</v>
      </c>
      <c r="F11" s="208"/>
      <c r="G11" s="208"/>
      <c r="H11" s="208"/>
      <c r="I11" s="208"/>
      <c r="J11" s="208"/>
      <c r="K11" s="208"/>
      <c r="L11" s="208"/>
      <c r="M11" s="208"/>
      <c r="N11" s="208"/>
    </row>
    <row r="12" spans="1:14" ht="30" customHeight="1" x14ac:dyDescent="0.2">
      <c r="D12" s="201"/>
      <c r="E12" s="198"/>
      <c r="F12" s="198"/>
      <c r="G12" s="198"/>
      <c r="H12" s="198"/>
      <c r="I12" s="198"/>
      <c r="J12" s="198"/>
      <c r="K12" s="198"/>
      <c r="L12" s="198"/>
      <c r="M12" s="198"/>
      <c r="N12" s="198"/>
    </row>
    <row r="13" spans="1:14" ht="30" customHeight="1" x14ac:dyDescent="0.2">
      <c r="D13" s="201"/>
      <c r="E13" s="198"/>
      <c r="F13" s="198"/>
      <c r="G13" s="198"/>
      <c r="H13" s="198"/>
      <c r="I13" s="198"/>
      <c r="J13" s="198"/>
      <c r="K13" s="198"/>
      <c r="L13" s="198"/>
      <c r="M13" s="198"/>
      <c r="N13" s="198"/>
    </row>
    <row r="14" spans="1:14" ht="47.25" customHeight="1" thickBot="1" x14ac:dyDescent="0.25">
      <c r="B14" s="199" t="s">
        <v>179</v>
      </c>
      <c r="C14" s="101" t="s">
        <v>120</v>
      </c>
      <c r="D14" s="199" t="s">
        <v>181</v>
      </c>
      <c r="E14" s="208" t="s">
        <v>79</v>
      </c>
      <c r="F14" s="208"/>
      <c r="G14" s="208"/>
      <c r="H14" s="208"/>
      <c r="I14" s="208"/>
      <c r="J14" s="208"/>
      <c r="K14" s="208"/>
      <c r="L14" s="208"/>
      <c r="M14" s="208"/>
      <c r="N14" s="208"/>
    </row>
    <row r="15" spans="1:14" ht="30" customHeight="1" thickBot="1" x14ac:dyDescent="0.25">
      <c r="B15" s="112"/>
      <c r="C15" s="9"/>
      <c r="D15" s="186" t="str">
        <f>""</f>
        <v/>
      </c>
      <c r="E15" s="204" t="s">
        <v>66</v>
      </c>
      <c r="F15" s="205"/>
      <c r="G15" s="205"/>
      <c r="H15" s="205"/>
      <c r="I15" s="205"/>
      <c r="J15" s="205"/>
      <c r="K15" s="205"/>
      <c r="L15" s="205"/>
      <c r="M15" s="205"/>
      <c r="N15" s="205"/>
    </row>
    <row r="16" spans="1:14" ht="30" customHeight="1" thickBot="1" x14ac:dyDescent="0.25">
      <c r="B16" s="112"/>
      <c r="C16" s="101" t="s">
        <v>120</v>
      </c>
      <c r="D16" s="113">
        <f>SQRT(((($B$8/12)*B16)^2)+B16^2)</f>
        <v>0</v>
      </c>
      <c r="E16" s="204" t="s">
        <v>80</v>
      </c>
      <c r="F16" s="205"/>
      <c r="G16" s="205"/>
      <c r="H16" s="205"/>
      <c r="I16" s="205"/>
      <c r="J16" s="205"/>
      <c r="K16" s="205"/>
      <c r="L16" s="205"/>
      <c r="M16" s="205"/>
      <c r="N16" s="205"/>
    </row>
    <row r="17" spans="1:19" ht="30" customHeight="1" thickBot="1" x14ac:dyDescent="0.25">
      <c r="B17" s="112"/>
      <c r="C17" s="101" t="s">
        <v>120</v>
      </c>
      <c r="D17" s="113">
        <f>SQRT(((($B$8/12)*B17)^2)+B17^2)</f>
        <v>0</v>
      </c>
      <c r="E17" s="204" t="s">
        <v>81</v>
      </c>
      <c r="F17" s="205"/>
      <c r="G17" s="205"/>
      <c r="H17" s="205"/>
      <c r="I17" s="205"/>
      <c r="J17" s="205"/>
      <c r="K17" s="205"/>
      <c r="L17" s="205"/>
      <c r="M17" s="205"/>
      <c r="N17" s="205"/>
    </row>
    <row r="18" spans="1:19" ht="30" customHeight="1" thickBot="1" x14ac:dyDescent="0.25">
      <c r="B18" s="112"/>
      <c r="C18" s="101"/>
      <c r="D18" s="186" t="str">
        <f>""</f>
        <v/>
      </c>
      <c r="E18" s="204" t="s">
        <v>67</v>
      </c>
      <c r="F18" s="205"/>
      <c r="G18" s="205"/>
      <c r="H18" s="205"/>
      <c r="I18" s="205"/>
      <c r="J18" s="205"/>
      <c r="K18" s="205"/>
      <c r="L18" s="205"/>
      <c r="M18" s="205"/>
      <c r="N18" s="205"/>
    </row>
    <row r="19" spans="1:19" ht="30" customHeight="1" thickBot="1" x14ac:dyDescent="0.25">
      <c r="B19" s="112"/>
      <c r="C19" s="101" t="s">
        <v>120</v>
      </c>
      <c r="D19" s="113">
        <f>SQRT(((($B$8/12)*B19)^2)+B19^2)</f>
        <v>0</v>
      </c>
      <c r="E19" s="204" t="s">
        <v>82</v>
      </c>
      <c r="F19" s="205"/>
      <c r="G19" s="205"/>
      <c r="H19" s="205"/>
      <c r="I19" s="205"/>
      <c r="J19" s="205"/>
      <c r="K19" s="205"/>
      <c r="L19" s="205"/>
      <c r="M19" s="205"/>
      <c r="N19" s="205"/>
    </row>
    <row r="20" spans="1:19" ht="30" customHeight="1" thickBot="1" x14ac:dyDescent="0.25">
      <c r="B20" s="112"/>
      <c r="C20" s="101" t="s">
        <v>120</v>
      </c>
      <c r="D20" s="113">
        <f>SQRT(((($B$8/12)*B20)^2)+B20^2)</f>
        <v>0</v>
      </c>
      <c r="E20" s="204" t="s">
        <v>83</v>
      </c>
      <c r="F20" s="205"/>
      <c r="G20" s="205"/>
      <c r="H20" s="205"/>
      <c r="I20" s="205"/>
      <c r="J20" s="205"/>
      <c r="K20" s="205"/>
      <c r="L20" s="205"/>
      <c r="M20" s="205"/>
      <c r="N20" s="205"/>
    </row>
    <row r="21" spans="1:19" ht="30" customHeight="1" thickBot="1" x14ac:dyDescent="0.25">
      <c r="B21" s="112"/>
      <c r="D21" s="186" t="str">
        <f>""</f>
        <v/>
      </c>
      <c r="E21" s="204" t="s">
        <v>68</v>
      </c>
      <c r="F21" s="205"/>
      <c r="G21" s="205"/>
      <c r="H21" s="205"/>
      <c r="I21" s="205"/>
      <c r="J21" s="205"/>
      <c r="K21" s="205"/>
      <c r="L21" s="205"/>
      <c r="M21" s="205"/>
      <c r="N21" s="205"/>
    </row>
    <row r="22" spans="1:19" ht="30" customHeight="1" thickBot="1" x14ac:dyDescent="0.25">
      <c r="B22" s="112"/>
      <c r="D22" s="186" t="str">
        <f>""</f>
        <v/>
      </c>
      <c r="E22" s="204" t="s">
        <v>86</v>
      </c>
      <c r="F22" s="205"/>
      <c r="G22" s="205"/>
      <c r="H22" s="205"/>
      <c r="I22" s="205"/>
      <c r="J22" s="205"/>
      <c r="K22" s="205"/>
      <c r="L22" s="205"/>
      <c r="M22" s="205"/>
      <c r="N22" s="205"/>
    </row>
    <row r="23" spans="1:19" ht="30" customHeight="1" thickBot="1" x14ac:dyDescent="0.25">
      <c r="B23" s="112"/>
      <c r="D23" s="186" t="str">
        <f>""</f>
        <v/>
      </c>
      <c r="E23" s="204" t="s">
        <v>137</v>
      </c>
      <c r="F23" s="205"/>
      <c r="G23" s="205"/>
      <c r="H23" s="205"/>
      <c r="I23" s="205"/>
      <c r="J23" s="205"/>
      <c r="K23" s="205"/>
      <c r="L23" s="205"/>
      <c r="M23" s="205"/>
      <c r="N23" s="205"/>
    </row>
    <row r="24" spans="1:19" ht="30" customHeight="1" thickBot="1" x14ac:dyDescent="0.25">
      <c r="B24" s="188"/>
      <c r="D24" s="188"/>
      <c r="E24" s="76"/>
      <c r="F24" s="76"/>
      <c r="G24" s="76"/>
      <c r="H24" s="76"/>
      <c r="I24" s="76"/>
      <c r="J24" s="76"/>
      <c r="K24" s="76"/>
      <c r="L24" s="76"/>
      <c r="M24" s="76"/>
      <c r="N24" s="76"/>
    </row>
    <row r="25" spans="1:19" ht="15.75" thickBot="1" x14ac:dyDescent="0.3">
      <c r="A25" s="189" t="s">
        <v>170</v>
      </c>
      <c r="B25" s="190" t="s">
        <v>65</v>
      </c>
      <c r="C25" s="190" t="s">
        <v>171</v>
      </c>
      <c r="D25" s="190" t="s">
        <v>172</v>
      </c>
      <c r="E25" s="206" t="s">
        <v>69</v>
      </c>
      <c r="F25" s="206"/>
      <c r="G25" s="206"/>
      <c r="H25" s="206"/>
      <c r="I25" s="206"/>
      <c r="J25" s="206"/>
      <c r="K25" s="206"/>
      <c r="L25" s="206"/>
      <c r="M25" s="206"/>
      <c r="N25" s="206"/>
    </row>
    <row r="26" spans="1:19" ht="30" customHeight="1" thickBot="1" x14ac:dyDescent="0.25">
      <c r="A26" s="191">
        <v>0.2</v>
      </c>
      <c r="B26" s="193">
        <f>SUM((D16+B15)/10)</f>
        <v>0</v>
      </c>
      <c r="C26" s="186"/>
      <c r="D26" s="108">
        <f>ROUNDUP((((D16+B15)*(1+A26))/10),0)</f>
        <v>0</v>
      </c>
      <c r="E26" s="219" t="s">
        <v>164</v>
      </c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220"/>
      <c r="R26" s="220"/>
      <c r="S26" s="220"/>
    </row>
    <row r="27" spans="1:19" ht="30" customHeight="1" thickBot="1" x14ac:dyDescent="0.25">
      <c r="A27" s="192">
        <v>0.1</v>
      </c>
      <c r="B27" s="194">
        <f>SUM((B15*2),(D19+B18+D17),((B22+B23)*3))/67</f>
        <v>0</v>
      </c>
      <c r="C27" s="186"/>
      <c r="D27" s="108">
        <f>ROUNDUP(((B27)*(1+A27)),0)</f>
        <v>0</v>
      </c>
      <c r="E27" s="222" t="s">
        <v>70</v>
      </c>
      <c r="F27" s="218"/>
      <c r="G27" s="218"/>
      <c r="H27" s="218"/>
      <c r="I27" s="218"/>
      <c r="J27" s="218"/>
      <c r="K27" s="218"/>
      <c r="L27" s="218"/>
      <c r="M27" s="218"/>
      <c r="N27" s="218"/>
      <c r="O27" s="218"/>
      <c r="P27" s="218"/>
      <c r="Q27" s="218"/>
      <c r="R27" s="218"/>
      <c r="S27" s="218"/>
    </row>
    <row r="28" spans="1:19" ht="30" customHeight="1" thickBot="1" x14ac:dyDescent="0.25">
      <c r="A28" s="192">
        <v>0.1</v>
      </c>
      <c r="B28" s="194">
        <f>(D11-(B27*200))/C28</f>
        <v>2.2999999999999998</v>
      </c>
      <c r="C28" s="109">
        <v>1000</v>
      </c>
      <c r="D28" s="108">
        <f>IF(ROUNDUP(((B28)*(1+A28)),0)&lt;0,0,ROUNDUP(((B28)*(1+A28)),0))</f>
        <v>3</v>
      </c>
      <c r="E28" s="223" t="s">
        <v>124</v>
      </c>
      <c r="F28" s="220"/>
      <c r="G28" s="220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</row>
    <row r="29" spans="1:19" ht="30" customHeight="1" thickBot="1" x14ac:dyDescent="0.25">
      <c r="A29" s="192">
        <v>0.05</v>
      </c>
      <c r="B29" s="194">
        <f>(D11/100)*C29</f>
        <v>23</v>
      </c>
      <c r="C29" s="109">
        <v>1</v>
      </c>
      <c r="D29" s="108">
        <f t="shared" ref="D29:D35" si="0">ROUNDUP(((B29)*(1+A29)),0)</f>
        <v>25</v>
      </c>
      <c r="E29" s="219" t="s">
        <v>126</v>
      </c>
      <c r="F29" s="220"/>
      <c r="G29" s="220"/>
      <c r="H29" s="220"/>
      <c r="I29" s="220"/>
      <c r="J29" s="220"/>
      <c r="K29" s="220"/>
      <c r="L29" s="220"/>
      <c r="M29" s="220"/>
      <c r="N29" s="220"/>
      <c r="O29" s="220"/>
      <c r="P29" s="220"/>
      <c r="Q29" s="220"/>
      <c r="R29" s="220"/>
      <c r="S29" s="220"/>
    </row>
    <row r="30" spans="1:19" ht="30" customHeight="1" thickBot="1" x14ac:dyDescent="0.25">
      <c r="A30" s="192">
        <v>0.1</v>
      </c>
      <c r="B30" s="194">
        <f>(D20+B21)/C30</f>
        <v>0</v>
      </c>
      <c r="C30" s="110">
        <f>IF(F8="GAF",25,30)</f>
        <v>25</v>
      </c>
      <c r="D30" s="111">
        <f t="shared" si="0"/>
        <v>0</v>
      </c>
      <c r="E30" s="223" t="s">
        <v>84</v>
      </c>
      <c r="F30" s="224"/>
      <c r="G30" s="224"/>
      <c r="H30" s="224"/>
      <c r="I30" s="224"/>
      <c r="J30" s="224"/>
      <c r="K30" s="224"/>
      <c r="L30" s="224"/>
      <c r="M30" s="224"/>
      <c r="N30" s="224"/>
      <c r="O30" s="224"/>
      <c r="P30" s="224"/>
      <c r="Q30" s="224"/>
      <c r="R30" s="224"/>
      <c r="S30" s="224"/>
    </row>
    <row r="31" spans="1:19" ht="30" customHeight="1" thickBot="1" x14ac:dyDescent="0.25">
      <c r="A31" s="192">
        <v>0.1</v>
      </c>
      <c r="B31" s="194">
        <f>SUM((D16+B15)/C31)</f>
        <v>0</v>
      </c>
      <c r="C31" s="109">
        <f>IF(F8="GAF",120,116)</f>
        <v>120</v>
      </c>
      <c r="D31" s="108">
        <f t="shared" si="0"/>
        <v>0</v>
      </c>
      <c r="E31" s="223" t="s">
        <v>85</v>
      </c>
      <c r="F31" s="224"/>
      <c r="G31" s="224"/>
      <c r="H31" s="224"/>
      <c r="I31" s="224"/>
      <c r="J31" s="224"/>
      <c r="K31" s="224"/>
      <c r="L31" s="224"/>
      <c r="M31" s="224"/>
      <c r="N31" s="224"/>
      <c r="O31" s="224"/>
      <c r="P31" s="224"/>
      <c r="Q31" s="224"/>
      <c r="R31" s="224"/>
      <c r="S31" s="224"/>
    </row>
    <row r="32" spans="1:19" ht="30" customHeight="1" thickBot="1" x14ac:dyDescent="0.25">
      <c r="A32" s="192">
        <v>0.1</v>
      </c>
      <c r="B32" s="194">
        <f>IF($D$8=0,(((D17*3)+(B23*12))/100),0)</f>
        <v>0</v>
      </c>
      <c r="C32" s="186"/>
      <c r="D32" s="108">
        <f t="shared" si="0"/>
        <v>0</v>
      </c>
      <c r="E32" s="219" t="s">
        <v>71</v>
      </c>
      <c r="F32" s="220"/>
      <c r="G32" s="220"/>
      <c r="H32" s="220"/>
      <c r="I32" s="220"/>
      <c r="J32" s="220"/>
      <c r="K32" s="220"/>
      <c r="L32" s="220"/>
      <c r="M32" s="220"/>
      <c r="N32" s="220"/>
      <c r="O32" s="220"/>
      <c r="P32" s="220"/>
      <c r="Q32" s="220"/>
      <c r="R32" s="220"/>
      <c r="S32" s="220"/>
    </row>
    <row r="33" spans="1:19" ht="30" customHeight="1" thickBot="1" x14ac:dyDescent="0.25">
      <c r="A33" s="192">
        <v>0.1</v>
      </c>
      <c r="B33" s="194">
        <f>IF($D$8=0,((B18+(B23*4))/200),0)</f>
        <v>0</v>
      </c>
      <c r="C33" s="186"/>
      <c r="D33" s="108">
        <f t="shared" si="0"/>
        <v>0</v>
      </c>
      <c r="E33" s="219" t="s">
        <v>72</v>
      </c>
      <c r="F33" s="220"/>
      <c r="G33" s="220"/>
      <c r="H33" s="220"/>
      <c r="I33" s="220"/>
      <c r="J33" s="220"/>
      <c r="K33" s="220"/>
      <c r="L33" s="220"/>
      <c r="M33" s="220"/>
      <c r="N33" s="220"/>
      <c r="O33" s="220"/>
      <c r="P33" s="220"/>
      <c r="Q33" s="220"/>
      <c r="R33" s="220"/>
      <c r="S33" s="220"/>
    </row>
    <row r="34" spans="1:19" ht="30" customHeight="1" thickBot="1" x14ac:dyDescent="0.25">
      <c r="A34" s="192">
        <v>0.1</v>
      </c>
      <c r="B34" s="194">
        <f>(D11/1500)</f>
        <v>1.5333333333333334</v>
      </c>
      <c r="C34" s="186"/>
      <c r="D34" s="108">
        <f t="shared" si="0"/>
        <v>2</v>
      </c>
      <c r="E34" s="219" t="s">
        <v>73</v>
      </c>
      <c r="F34" s="220"/>
      <c r="G34" s="220"/>
      <c r="H34" s="220"/>
      <c r="I34" s="220"/>
      <c r="J34" s="220"/>
      <c r="K34" s="220"/>
      <c r="L34" s="220"/>
      <c r="M34" s="220"/>
      <c r="N34" s="220"/>
      <c r="O34" s="220"/>
      <c r="P34" s="220"/>
      <c r="Q34" s="220"/>
      <c r="R34" s="220"/>
      <c r="S34" s="220"/>
    </row>
    <row r="35" spans="1:19" ht="30" customHeight="1" thickBot="1" x14ac:dyDescent="0.25">
      <c r="A35" s="192">
        <v>0.1</v>
      </c>
      <c r="B35" s="194">
        <f>(B21)/C35</f>
        <v>0</v>
      </c>
      <c r="C35" s="109">
        <v>4</v>
      </c>
      <c r="D35" s="108">
        <f t="shared" si="0"/>
        <v>0</v>
      </c>
      <c r="E35" s="219" t="s">
        <v>183</v>
      </c>
      <c r="F35" s="220"/>
      <c r="G35" s="220"/>
      <c r="H35" s="220"/>
      <c r="I35" s="220"/>
      <c r="J35" s="220"/>
      <c r="K35" s="220"/>
      <c r="L35" s="220"/>
      <c r="M35" s="220"/>
      <c r="N35" s="220"/>
      <c r="O35" s="220"/>
      <c r="P35" s="220"/>
      <c r="Q35" s="220"/>
      <c r="R35" s="220"/>
      <c r="S35" s="220"/>
    </row>
    <row r="36" spans="1:19" ht="30" customHeight="1" thickBot="1" x14ac:dyDescent="0.25">
      <c r="A36" s="186"/>
      <c r="B36" s="195">
        <f>B22</f>
        <v>0</v>
      </c>
      <c r="C36" s="186"/>
      <c r="D36" s="108">
        <f>B36</f>
        <v>0</v>
      </c>
      <c r="E36" s="219" t="s">
        <v>87</v>
      </c>
      <c r="F36" s="220"/>
      <c r="G36" s="220"/>
      <c r="H36" s="220"/>
      <c r="I36" s="220"/>
      <c r="J36" s="220"/>
      <c r="K36" s="220"/>
      <c r="L36" s="220"/>
      <c r="M36" s="220"/>
      <c r="N36" s="220"/>
      <c r="O36" s="220"/>
      <c r="P36" s="220"/>
      <c r="Q36" s="220"/>
      <c r="R36" s="220"/>
      <c r="S36" s="220"/>
    </row>
    <row r="37" spans="1:19" ht="15.75" hidden="1" thickBot="1" x14ac:dyDescent="0.3">
      <c r="B37" s="74"/>
      <c r="D37" s="7"/>
      <c r="E37" s="76"/>
      <c r="G37" s="73" t="s">
        <v>74</v>
      </c>
    </row>
    <row r="38" spans="1:19" ht="30" hidden="1" customHeight="1" thickBot="1" x14ac:dyDescent="0.25">
      <c r="B38" s="77">
        <v>140</v>
      </c>
      <c r="C38" s="53"/>
      <c r="E38" s="221" t="s">
        <v>93</v>
      </c>
      <c r="F38" s="216"/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S38" s="216"/>
    </row>
    <row r="39" spans="1:19" ht="30" hidden="1" customHeight="1" thickBot="1" x14ac:dyDescent="0.25">
      <c r="A39" s="83" t="s">
        <v>90</v>
      </c>
      <c r="B39" s="96">
        <f>ROUNDUP((((D11/100)*D8)/50),0)</f>
        <v>1</v>
      </c>
      <c r="C39" s="78"/>
      <c r="D39" s="1"/>
      <c r="E39" s="221" t="s">
        <v>75</v>
      </c>
      <c r="F39" s="216"/>
      <c r="G39" s="216"/>
      <c r="H39" s="216"/>
      <c r="I39" s="216"/>
      <c r="J39" s="216"/>
      <c r="K39" s="216"/>
      <c r="L39" s="216"/>
      <c r="M39" s="216"/>
      <c r="N39" s="216"/>
      <c r="O39" s="216"/>
      <c r="P39" s="216"/>
      <c r="Q39" s="216"/>
      <c r="R39" s="216"/>
      <c r="S39" s="216"/>
    </row>
    <row r="40" spans="1:19" ht="30" hidden="1" customHeight="1" thickBot="1" x14ac:dyDescent="0.25">
      <c r="B40" s="75"/>
      <c r="C40" s="53"/>
      <c r="E40" s="216" t="s">
        <v>76</v>
      </c>
      <c r="F40" s="216"/>
      <c r="G40" s="216"/>
      <c r="H40" s="216"/>
      <c r="I40" s="216"/>
      <c r="J40" s="216"/>
      <c r="K40" s="216"/>
      <c r="L40" s="216"/>
      <c r="M40" s="216"/>
      <c r="N40" s="216"/>
      <c r="O40" s="216"/>
      <c r="P40" s="216"/>
      <c r="Q40" s="216"/>
      <c r="R40" s="216"/>
      <c r="S40" s="216"/>
    </row>
    <row r="41" spans="1:19" ht="30" hidden="1" customHeight="1" thickBot="1" x14ac:dyDescent="0.25">
      <c r="B41" s="75"/>
      <c r="E41" s="217" t="s">
        <v>77</v>
      </c>
      <c r="F41" s="218"/>
      <c r="G41" s="218"/>
      <c r="H41" s="218"/>
      <c r="I41" s="218"/>
      <c r="J41" s="218"/>
      <c r="K41" s="218"/>
      <c r="L41" s="218"/>
      <c r="M41" s="218"/>
      <c r="N41" s="218"/>
      <c r="O41" s="218"/>
      <c r="P41" s="218"/>
      <c r="Q41" s="218"/>
      <c r="R41" s="218"/>
      <c r="S41" s="218"/>
    </row>
    <row r="42" spans="1:19" ht="30" hidden="1" customHeight="1" thickBot="1" x14ac:dyDescent="0.25">
      <c r="B42" s="75"/>
      <c r="E42" s="216" t="s">
        <v>78</v>
      </c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</row>
    <row r="43" spans="1:19" ht="13.5" hidden="1" thickBot="1" x14ac:dyDescent="0.25"/>
    <row r="44" spans="1:19" hidden="1" x14ac:dyDescent="0.2">
      <c r="A44" s="92"/>
      <c r="B44" s="95" t="s">
        <v>23</v>
      </c>
      <c r="C44" s="84"/>
      <c r="D44" s="85"/>
      <c r="F44" s="92"/>
      <c r="G44" s="89" t="s">
        <v>59</v>
      </c>
      <c r="H44" s="84"/>
      <c r="I44" s="85"/>
    </row>
    <row r="45" spans="1:19" hidden="1" x14ac:dyDescent="0.2">
      <c r="A45" s="93">
        <v>75</v>
      </c>
      <c r="B45" s="90" t="s">
        <v>98</v>
      </c>
      <c r="C45" s="71"/>
      <c r="D45" s="86"/>
      <c r="F45" s="93">
        <v>40</v>
      </c>
      <c r="G45" s="90" t="s">
        <v>94</v>
      </c>
      <c r="H45" s="71"/>
      <c r="I45" s="86"/>
    </row>
    <row r="46" spans="1:19" hidden="1" x14ac:dyDescent="0.2">
      <c r="A46" s="93">
        <v>85</v>
      </c>
      <c r="B46" s="90" t="s">
        <v>99</v>
      </c>
      <c r="C46" s="71"/>
      <c r="D46" s="86"/>
      <c r="F46" s="93">
        <v>250</v>
      </c>
      <c r="G46" s="90" t="s">
        <v>95</v>
      </c>
      <c r="H46" s="71"/>
      <c r="I46" s="86"/>
    </row>
    <row r="47" spans="1:19" hidden="1" x14ac:dyDescent="0.2">
      <c r="A47" s="93">
        <v>195</v>
      </c>
      <c r="B47" s="90" t="s">
        <v>100</v>
      </c>
      <c r="C47" s="71"/>
      <c r="D47" s="86"/>
      <c r="F47" s="93">
        <v>120</v>
      </c>
      <c r="G47" s="90" t="s">
        <v>96</v>
      </c>
      <c r="H47" s="71"/>
      <c r="I47" s="86"/>
    </row>
    <row r="48" spans="1:19" ht="13.5" hidden="1" thickBot="1" x14ac:dyDescent="0.25">
      <c r="A48" s="93"/>
      <c r="B48" s="71"/>
      <c r="C48" s="71"/>
      <c r="D48" s="86"/>
      <c r="F48" s="94">
        <v>25</v>
      </c>
      <c r="G48" s="91" t="s">
        <v>97</v>
      </c>
      <c r="H48" s="87"/>
      <c r="I48" s="88"/>
    </row>
    <row r="49" spans="1:4" hidden="1" x14ac:dyDescent="0.2">
      <c r="A49" s="93">
        <v>130</v>
      </c>
      <c r="B49" s="90" t="s">
        <v>101</v>
      </c>
      <c r="C49" s="71"/>
      <c r="D49" s="86"/>
    </row>
    <row r="50" spans="1:4" hidden="1" x14ac:dyDescent="0.2">
      <c r="A50" s="93">
        <v>140</v>
      </c>
      <c r="B50" s="90" t="s">
        <v>102</v>
      </c>
      <c r="C50" s="71"/>
      <c r="D50" s="86"/>
    </row>
    <row r="51" spans="1:4" hidden="1" x14ac:dyDescent="0.2">
      <c r="A51" s="93"/>
      <c r="B51" s="70"/>
      <c r="C51" s="71"/>
      <c r="D51" s="86"/>
    </row>
    <row r="52" spans="1:4" hidden="1" x14ac:dyDescent="0.2">
      <c r="A52" s="93">
        <v>150</v>
      </c>
      <c r="B52" s="90" t="s">
        <v>103</v>
      </c>
      <c r="C52" s="71"/>
      <c r="D52" s="86"/>
    </row>
    <row r="53" spans="1:4" ht="13.5" hidden="1" thickBot="1" x14ac:dyDescent="0.25">
      <c r="A53" s="94">
        <v>160</v>
      </c>
      <c r="B53" s="91" t="s">
        <v>104</v>
      </c>
      <c r="C53" s="87"/>
      <c r="D53" s="88"/>
    </row>
    <row r="54" spans="1:4" hidden="1" x14ac:dyDescent="0.2"/>
  </sheetData>
  <mergeCells count="36">
    <mergeCell ref="E21:N21"/>
    <mergeCell ref="E23:N23"/>
    <mergeCell ref="E22:N22"/>
    <mergeCell ref="E35:S35"/>
    <mergeCell ref="E39:S39"/>
    <mergeCell ref="E40:S40"/>
    <mergeCell ref="E41:S41"/>
    <mergeCell ref="E25:N25"/>
    <mergeCell ref="E42:S42"/>
    <mergeCell ref="E36:S36"/>
    <mergeCell ref="E38:S38"/>
    <mergeCell ref="E26:S26"/>
    <mergeCell ref="E27:S27"/>
    <mergeCell ref="E28:S28"/>
    <mergeCell ref="E29:S29"/>
    <mergeCell ref="E30:S30"/>
    <mergeCell ref="E31:S31"/>
    <mergeCell ref="E32:S32"/>
    <mergeCell ref="E33:S33"/>
    <mergeCell ref="E34:S34"/>
    <mergeCell ref="A1:N1"/>
    <mergeCell ref="E17:N17"/>
    <mergeCell ref="E18:N18"/>
    <mergeCell ref="E19:N19"/>
    <mergeCell ref="E20:N20"/>
    <mergeCell ref="E10:N10"/>
    <mergeCell ref="E11:N11"/>
    <mergeCell ref="E14:N14"/>
    <mergeCell ref="E15:N15"/>
    <mergeCell ref="E16:N16"/>
    <mergeCell ref="A2:B2"/>
    <mergeCell ref="A3:B3"/>
    <mergeCell ref="C2:E2"/>
    <mergeCell ref="C3:E3"/>
    <mergeCell ref="C4:E4"/>
    <mergeCell ref="A4:B4"/>
  </mergeCells>
  <dataValidations disablePrompts="1" count="1">
    <dataValidation type="list" allowBlank="1" showInputMessage="1" showErrorMessage="1" sqref="F8" xr:uid="{694DCFA9-947A-4EC3-A4AB-53F0B6EBFF47}">
      <formula1>"GAF, CertainTeed"</formula1>
    </dataValidation>
  </dataValidations>
  <pageMargins left="0.7" right="0.7" top="0.75" bottom="0.75" header="0.3" footer="0.3"/>
  <pageSetup scale="50" orientation="portrait" r:id="rId1"/>
  <ignoredErrors>
    <ignoredError sqref="D18 D2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363"/>
  <sheetViews>
    <sheetView tabSelected="1" topLeftCell="A51" zoomScale="115" zoomScaleNormal="115" workbookViewId="0">
      <selection activeCell="C44" sqref="C44"/>
    </sheetView>
  </sheetViews>
  <sheetFormatPr defaultRowHeight="12.75" outlineLevelRow="1" x14ac:dyDescent="0.2"/>
  <cols>
    <col min="1" max="1" width="9.140625" customWidth="1"/>
    <col min="2" max="2" width="55.42578125" customWidth="1"/>
    <col min="3" max="3" width="13.28515625" customWidth="1"/>
    <col min="4" max="4" width="21" customWidth="1"/>
    <col min="5" max="5" width="17.140625" customWidth="1"/>
    <col min="6" max="6" width="16.5703125" customWidth="1"/>
    <col min="7" max="7" width="12.42578125" customWidth="1"/>
    <col min="8" max="8" width="11" customWidth="1"/>
    <col min="9" max="9" width="17.85546875" customWidth="1"/>
    <col min="10" max="10" width="21.7109375" customWidth="1"/>
    <col min="11" max="11" width="7.5703125" hidden="1" customWidth="1"/>
    <col min="13" max="13" width="10.140625" customWidth="1"/>
    <col min="14" max="14" width="14.7109375" customWidth="1"/>
  </cols>
  <sheetData>
    <row r="1" spans="1:14" ht="13.15" customHeight="1" x14ac:dyDescent="0.2">
      <c r="A1" s="14"/>
      <c r="B1" s="10"/>
      <c r="C1" s="114"/>
      <c r="D1" s="115"/>
      <c r="E1" s="115"/>
      <c r="F1" s="115"/>
      <c r="G1" s="115"/>
      <c r="H1" s="115"/>
      <c r="I1" s="115"/>
    </row>
    <row r="2" spans="1:14" ht="13.15" customHeight="1" x14ac:dyDescent="0.2">
      <c r="A2" s="116" t="s">
        <v>136</v>
      </c>
      <c r="B2" s="117" t="s">
        <v>202</v>
      </c>
      <c r="C2" s="115"/>
      <c r="D2" s="115"/>
      <c r="E2" s="115"/>
      <c r="F2" s="115"/>
      <c r="G2" s="115"/>
      <c r="H2" s="115"/>
      <c r="I2" s="115"/>
    </row>
    <row r="3" spans="1:14" ht="13.15" customHeight="1" x14ac:dyDescent="0.25">
      <c r="A3" s="116"/>
      <c r="B3" s="118"/>
      <c r="C3" s="115"/>
      <c r="D3" s="115"/>
      <c r="E3" s="115"/>
      <c r="F3" s="115"/>
      <c r="G3" s="115"/>
      <c r="H3" s="115"/>
      <c r="I3" s="115"/>
    </row>
    <row r="4" spans="1:14" ht="12.75" customHeight="1" x14ac:dyDescent="0.2">
      <c r="A4" s="116" t="s">
        <v>39</v>
      </c>
      <c r="B4" s="119" t="s">
        <v>203</v>
      </c>
      <c r="C4" s="115"/>
      <c r="D4" s="115"/>
      <c r="E4" s="115"/>
      <c r="F4" s="115"/>
      <c r="G4" s="115"/>
      <c r="H4" s="115"/>
      <c r="I4" s="115"/>
    </row>
    <row r="5" spans="1:14" ht="14.25" x14ac:dyDescent="0.2">
      <c r="A5" s="117"/>
      <c r="B5" s="117" t="s">
        <v>204</v>
      </c>
      <c r="C5" s="45"/>
    </row>
    <row r="6" spans="1:14" x14ac:dyDescent="0.2">
      <c r="C6" s="34"/>
      <c r="D6" s="34"/>
      <c r="I6" s="45"/>
    </row>
    <row r="7" spans="1:14" x14ac:dyDescent="0.2">
      <c r="A7">
        <v>1</v>
      </c>
      <c r="B7" s="81" t="s">
        <v>91</v>
      </c>
      <c r="C7" s="34"/>
      <c r="D7" s="34"/>
      <c r="E7" s="10"/>
      <c r="I7" s="45"/>
    </row>
    <row r="8" spans="1:14" x14ac:dyDescent="0.2">
      <c r="A8">
        <v>2</v>
      </c>
      <c r="B8" s="82" t="s">
        <v>92</v>
      </c>
      <c r="C8" s="34"/>
      <c r="D8" s="34"/>
      <c r="E8" s="10"/>
      <c r="I8" s="45"/>
    </row>
    <row r="9" spans="1:14" x14ac:dyDescent="0.2">
      <c r="A9">
        <v>3</v>
      </c>
      <c r="B9" s="139">
        <v>0</v>
      </c>
      <c r="C9" s="34"/>
      <c r="D9" s="34"/>
      <c r="E9" s="10"/>
      <c r="I9" s="45"/>
    </row>
    <row r="10" spans="1:14" x14ac:dyDescent="0.2">
      <c r="C10" s="45"/>
      <c r="E10" s="45"/>
      <c r="F10" s="45"/>
      <c r="G10" s="45"/>
      <c r="H10" s="45"/>
      <c r="I10" s="45"/>
    </row>
    <row r="11" spans="1:14" ht="18" x14ac:dyDescent="0.25">
      <c r="B11" s="79">
        <v>1900</v>
      </c>
      <c r="C11" s="225" t="s">
        <v>158</v>
      </c>
      <c r="D11" s="226"/>
      <c r="E11" s="226"/>
      <c r="F11" s="226"/>
      <c r="G11" s="226"/>
      <c r="H11" s="226"/>
      <c r="I11" s="226"/>
    </row>
    <row r="12" spans="1:14" ht="15.75" thickBot="1" x14ac:dyDescent="0.25">
      <c r="B12" s="33"/>
    </row>
    <row r="13" spans="1:14" ht="13.5" thickBot="1" x14ac:dyDescent="0.25">
      <c r="B13" s="153" t="s">
        <v>0</v>
      </c>
      <c r="C13" s="154" t="s">
        <v>1</v>
      </c>
      <c r="D13" s="154" t="s">
        <v>142</v>
      </c>
      <c r="E13" s="154" t="s">
        <v>3</v>
      </c>
      <c r="F13" s="154" t="s">
        <v>2</v>
      </c>
      <c r="G13" s="154" t="s">
        <v>11</v>
      </c>
      <c r="H13" s="154" t="s">
        <v>10</v>
      </c>
      <c r="I13" s="155" t="s">
        <v>12</v>
      </c>
      <c r="J13" s="13"/>
    </row>
    <row r="14" spans="1:14" s="46" customFormat="1" ht="12.75" customHeight="1" x14ac:dyDescent="0.2">
      <c r="A14" s="227" t="s">
        <v>153</v>
      </c>
      <c r="B14" s="156" t="s">
        <v>38</v>
      </c>
      <c r="C14" s="149">
        <v>0</v>
      </c>
      <c r="D14" s="150" t="s">
        <v>6</v>
      </c>
      <c r="E14" s="157">
        <v>95</v>
      </c>
      <c r="F14" s="151">
        <f t="shared" ref="F14:F43" si="0">SUM(C14)*(E14)</f>
        <v>0</v>
      </c>
      <c r="G14" s="151">
        <f>SUM(F14)*0.0625</f>
        <v>0</v>
      </c>
      <c r="H14" s="151">
        <f>SUM(F14:G14)</f>
        <v>0</v>
      </c>
      <c r="I14" s="158">
        <f>SUM(H14)*1.4</f>
        <v>0</v>
      </c>
      <c r="M14" s="47"/>
      <c r="N14" s="47"/>
    </row>
    <row r="15" spans="1:14" s="15" customFormat="1" x14ac:dyDescent="0.2">
      <c r="A15" s="228"/>
      <c r="B15" s="39" t="s">
        <v>48</v>
      </c>
      <c r="C15" s="159"/>
      <c r="D15" s="15" t="s">
        <v>6</v>
      </c>
      <c r="E15" s="160">
        <v>100.71</v>
      </c>
      <c r="F15" s="16">
        <f>SUM(C15)*(E15)</f>
        <v>0</v>
      </c>
      <c r="G15" s="16">
        <f>SUM(F15)*0.0625</f>
        <v>0</v>
      </c>
      <c r="H15" s="16">
        <f>SUM(F15:G15)</f>
        <v>0</v>
      </c>
      <c r="I15" s="21">
        <f>SUM(H15)*1.4</f>
        <v>0</v>
      </c>
      <c r="J15" s="42"/>
      <c r="M15" s="18"/>
      <c r="N15" s="18"/>
    </row>
    <row r="16" spans="1:14" s="15" customFormat="1" x14ac:dyDescent="0.2">
      <c r="A16" s="228"/>
      <c r="B16" s="39" t="s">
        <v>123</v>
      </c>
      <c r="C16" s="147">
        <v>0</v>
      </c>
      <c r="D16" s="120" t="s">
        <v>6</v>
      </c>
      <c r="E16" s="160">
        <v>121</v>
      </c>
      <c r="F16" s="121">
        <f>SUM(C16)*(E16)</f>
        <v>0</v>
      </c>
      <c r="G16" s="16">
        <f t="shared" ref="G16:G65" si="1">SUM(F16)*0.0625</f>
        <v>0</v>
      </c>
      <c r="H16" s="16">
        <f t="shared" ref="H16:H65" si="2">SUM(F16:G16)</f>
        <v>0</v>
      </c>
      <c r="I16" s="21">
        <f t="shared" ref="I16:I65" si="3">SUM(H16)*1.4</f>
        <v>0</v>
      </c>
    </row>
    <row r="17" spans="1:14" s="46" customFormat="1" x14ac:dyDescent="0.2">
      <c r="A17" s="228"/>
      <c r="B17" s="39" t="s">
        <v>165</v>
      </c>
      <c r="C17" s="159"/>
      <c r="D17" s="15" t="s">
        <v>6</v>
      </c>
      <c r="E17" s="160">
        <v>200.5</v>
      </c>
      <c r="F17" s="121">
        <f>SUM(C17)*(E17)</f>
        <v>0</v>
      </c>
      <c r="G17" s="16">
        <f t="shared" si="1"/>
        <v>0</v>
      </c>
      <c r="H17" s="16">
        <f t="shared" si="2"/>
        <v>0</v>
      </c>
      <c r="I17" s="21">
        <f t="shared" si="3"/>
        <v>0</v>
      </c>
    </row>
    <row r="18" spans="1:14" s="46" customFormat="1" x14ac:dyDescent="0.2">
      <c r="A18" s="228"/>
      <c r="B18" s="49" t="s">
        <v>14</v>
      </c>
      <c r="C18" s="147">
        <f>IF(AND('Take off'!C28=400,'Take off'!F8="GAF"),'Take off'!D28,0)</f>
        <v>0</v>
      </c>
      <c r="D18" s="120" t="s">
        <v>6</v>
      </c>
      <c r="E18" s="160">
        <v>60.81</v>
      </c>
      <c r="F18" s="121">
        <f t="shared" si="0"/>
        <v>0</v>
      </c>
      <c r="G18" s="16">
        <f t="shared" si="1"/>
        <v>0</v>
      </c>
      <c r="H18" s="16">
        <f t="shared" si="2"/>
        <v>0</v>
      </c>
      <c r="I18" s="21">
        <f t="shared" si="3"/>
        <v>0</v>
      </c>
    </row>
    <row r="19" spans="1:14" s="46" customFormat="1" x14ac:dyDescent="0.2">
      <c r="A19" s="228"/>
      <c r="B19" s="39" t="s">
        <v>127</v>
      </c>
      <c r="C19" s="147">
        <v>0</v>
      </c>
      <c r="D19" s="120" t="s">
        <v>7</v>
      </c>
      <c r="E19" s="160">
        <v>65.75</v>
      </c>
      <c r="F19" s="121">
        <f t="shared" si="0"/>
        <v>0</v>
      </c>
      <c r="G19" s="16">
        <f t="shared" si="1"/>
        <v>0</v>
      </c>
      <c r="H19" s="16">
        <f t="shared" si="2"/>
        <v>0</v>
      </c>
      <c r="I19" s="21">
        <f t="shared" si="3"/>
        <v>0</v>
      </c>
      <c r="M19" s="47"/>
      <c r="N19" s="47"/>
    </row>
    <row r="20" spans="1:14" s="46" customFormat="1" x14ac:dyDescent="0.2">
      <c r="A20" s="228"/>
      <c r="B20" s="39" t="s">
        <v>156</v>
      </c>
      <c r="C20" s="152"/>
      <c r="D20" s="120" t="s">
        <v>7</v>
      </c>
      <c r="E20" s="121">
        <v>60</v>
      </c>
      <c r="F20" s="121">
        <f>SUM(C20)*(E20)</f>
        <v>0</v>
      </c>
      <c r="G20" s="16">
        <f t="shared" si="1"/>
        <v>0</v>
      </c>
      <c r="H20" s="16">
        <f t="shared" si="2"/>
        <v>0</v>
      </c>
      <c r="I20" s="21">
        <f t="shared" si="3"/>
        <v>0</v>
      </c>
      <c r="M20" s="47"/>
      <c r="N20" s="47"/>
    </row>
    <row r="21" spans="1:14" s="46" customFormat="1" x14ac:dyDescent="0.2">
      <c r="A21" s="228"/>
      <c r="B21" s="39" t="s">
        <v>189</v>
      </c>
      <c r="C21" s="152">
        <v>0</v>
      </c>
      <c r="D21" s="15" t="s">
        <v>6</v>
      </c>
      <c r="E21" s="160">
        <v>127.5</v>
      </c>
      <c r="F21" s="121">
        <f t="shared" si="0"/>
        <v>0</v>
      </c>
      <c r="G21" s="16">
        <f t="shared" si="1"/>
        <v>0</v>
      </c>
      <c r="H21" s="16">
        <f t="shared" si="2"/>
        <v>0</v>
      </c>
      <c r="I21" s="21">
        <f t="shared" si="3"/>
        <v>0</v>
      </c>
      <c r="M21" s="47"/>
      <c r="N21" s="47"/>
    </row>
    <row r="22" spans="1:14" s="46" customFormat="1" x14ac:dyDescent="0.2">
      <c r="A22" s="228"/>
      <c r="B22" s="39" t="s">
        <v>190</v>
      </c>
      <c r="C22" s="171">
        <v>0</v>
      </c>
      <c r="D22" s="15" t="s">
        <v>6</v>
      </c>
      <c r="E22" s="160">
        <v>126.25</v>
      </c>
      <c r="F22" s="121">
        <f t="shared" si="0"/>
        <v>0</v>
      </c>
      <c r="G22" s="16">
        <f t="shared" si="1"/>
        <v>0</v>
      </c>
      <c r="H22" s="16">
        <f t="shared" si="2"/>
        <v>0</v>
      </c>
      <c r="I22" s="21">
        <f t="shared" si="3"/>
        <v>0</v>
      </c>
      <c r="M22" s="47"/>
      <c r="N22" s="47"/>
    </row>
    <row r="23" spans="1:14" s="15" customFormat="1" x14ac:dyDescent="0.2">
      <c r="A23" s="228"/>
      <c r="B23" s="39" t="s">
        <v>125</v>
      </c>
      <c r="C23" s="161">
        <v>0</v>
      </c>
      <c r="D23" s="15" t="s">
        <v>9</v>
      </c>
      <c r="E23" s="160">
        <v>144</v>
      </c>
      <c r="F23" s="121">
        <f>SUM(C23)*(E23)</f>
        <v>0</v>
      </c>
      <c r="G23" s="16">
        <f t="shared" si="1"/>
        <v>0</v>
      </c>
      <c r="H23" s="16">
        <f t="shared" si="2"/>
        <v>0</v>
      </c>
      <c r="I23" s="21">
        <f t="shared" si="3"/>
        <v>0</v>
      </c>
      <c r="M23" s="18"/>
      <c r="N23" s="18"/>
    </row>
    <row r="24" spans="1:14" s="15" customFormat="1" x14ac:dyDescent="0.2">
      <c r="A24" s="228"/>
      <c r="B24" s="39" t="s">
        <v>125</v>
      </c>
      <c r="C24" s="161">
        <f>IF(AND('Take off'!C29=3,'Take off'!F8="GAF"),'Take off'!D29,0)</f>
        <v>0</v>
      </c>
      <c r="D24" s="15" t="s">
        <v>7</v>
      </c>
      <c r="E24" s="160">
        <f>E23/3</f>
        <v>48</v>
      </c>
      <c r="F24" s="121">
        <f t="shared" si="0"/>
        <v>0</v>
      </c>
      <c r="G24" s="16">
        <f t="shared" si="1"/>
        <v>0</v>
      </c>
      <c r="H24" s="16">
        <f t="shared" si="2"/>
        <v>0</v>
      </c>
      <c r="I24" s="21">
        <f t="shared" si="3"/>
        <v>0</v>
      </c>
      <c r="M24" s="18"/>
      <c r="N24" s="18"/>
    </row>
    <row r="25" spans="1:14" s="15" customFormat="1" x14ac:dyDescent="0.2">
      <c r="A25" s="228"/>
      <c r="B25" s="39" t="s">
        <v>138</v>
      </c>
      <c r="C25" s="152"/>
      <c r="D25" s="120" t="s">
        <v>9</v>
      </c>
      <c r="E25" s="121">
        <v>205</v>
      </c>
      <c r="F25" s="121">
        <f t="shared" si="0"/>
        <v>0</v>
      </c>
      <c r="G25" s="16">
        <f t="shared" si="1"/>
        <v>0</v>
      </c>
      <c r="H25" s="16">
        <f t="shared" si="2"/>
        <v>0</v>
      </c>
      <c r="I25" s="21">
        <f t="shared" si="3"/>
        <v>0</v>
      </c>
      <c r="M25" s="18"/>
      <c r="N25" s="18"/>
    </row>
    <row r="26" spans="1:14" s="46" customFormat="1" x14ac:dyDescent="0.2">
      <c r="A26" s="228"/>
      <c r="B26" s="39" t="s">
        <v>139</v>
      </c>
      <c r="C26" s="161">
        <v>0</v>
      </c>
      <c r="D26" s="120" t="s">
        <v>7</v>
      </c>
      <c r="E26" s="160">
        <v>76</v>
      </c>
      <c r="F26" s="121">
        <f>SUM(C26)*(E26)</f>
        <v>0</v>
      </c>
      <c r="G26" s="16">
        <f t="shared" si="1"/>
        <v>0</v>
      </c>
      <c r="H26" s="16">
        <f t="shared" si="2"/>
        <v>0</v>
      </c>
      <c r="I26" s="21">
        <f t="shared" si="3"/>
        <v>0</v>
      </c>
      <c r="M26" s="47"/>
      <c r="N26" s="47"/>
    </row>
    <row r="27" spans="1:14" s="46" customFormat="1" x14ac:dyDescent="0.2">
      <c r="A27" s="228"/>
      <c r="B27" s="39" t="s">
        <v>47</v>
      </c>
      <c r="C27" s="161">
        <v>0</v>
      </c>
      <c r="D27" s="120" t="s">
        <v>7</v>
      </c>
      <c r="E27" s="160">
        <v>108</v>
      </c>
      <c r="F27" s="121">
        <f>SUM(C27)*(E27)</f>
        <v>0</v>
      </c>
      <c r="G27" s="16">
        <f t="shared" si="1"/>
        <v>0</v>
      </c>
      <c r="H27" s="16">
        <f t="shared" si="2"/>
        <v>0</v>
      </c>
      <c r="I27" s="21">
        <f t="shared" si="3"/>
        <v>0</v>
      </c>
      <c r="M27" s="47"/>
      <c r="N27" s="47"/>
    </row>
    <row r="28" spans="1:14" s="15" customFormat="1" x14ac:dyDescent="0.2">
      <c r="A28" s="228"/>
      <c r="B28" s="39" t="s">
        <v>143</v>
      </c>
      <c r="C28" s="161">
        <v>0</v>
      </c>
      <c r="D28" s="120" t="s">
        <v>17</v>
      </c>
      <c r="E28" s="160">
        <v>16</v>
      </c>
      <c r="F28" s="121">
        <f>SUM(C28)*(E28)</f>
        <v>0</v>
      </c>
      <c r="G28" s="16">
        <f t="shared" si="1"/>
        <v>0</v>
      </c>
      <c r="H28" s="16">
        <f t="shared" si="2"/>
        <v>0</v>
      </c>
      <c r="I28" s="21">
        <f t="shared" si="3"/>
        <v>0</v>
      </c>
    </row>
    <row r="29" spans="1:14" s="46" customFormat="1" ht="13.5" thickBot="1" x14ac:dyDescent="0.25">
      <c r="A29" s="229"/>
      <c r="B29" s="50" t="s">
        <v>24</v>
      </c>
      <c r="C29" s="162">
        <f>IF(AND('Take off'!C35=20,'Take off'!F8="GAF"),'Take off'!D35,0)</f>
        <v>0</v>
      </c>
      <c r="D29" s="51" t="s">
        <v>6</v>
      </c>
      <c r="E29" s="163">
        <v>45</v>
      </c>
      <c r="F29" s="52">
        <f t="shared" si="0"/>
        <v>0</v>
      </c>
      <c r="G29" s="166">
        <f t="shared" si="1"/>
        <v>0</v>
      </c>
      <c r="H29" s="166">
        <f t="shared" si="2"/>
        <v>0</v>
      </c>
      <c r="I29" s="167">
        <f t="shared" si="3"/>
        <v>0</v>
      </c>
    </row>
    <row r="30" spans="1:14" s="15" customFormat="1" x14ac:dyDescent="0.2">
      <c r="A30" s="230" t="s">
        <v>28</v>
      </c>
      <c r="B30" s="156" t="s">
        <v>25</v>
      </c>
      <c r="C30" s="149">
        <v>5</v>
      </c>
      <c r="D30" s="150" t="s">
        <v>6</v>
      </c>
      <c r="E30" s="157">
        <v>90</v>
      </c>
      <c r="F30" s="151">
        <f t="shared" si="0"/>
        <v>450</v>
      </c>
      <c r="G30" s="168">
        <f t="shared" si="1"/>
        <v>28.125</v>
      </c>
      <c r="H30" s="168">
        <f t="shared" si="2"/>
        <v>478.125</v>
      </c>
      <c r="I30" s="169">
        <f t="shared" si="3"/>
        <v>669.375</v>
      </c>
      <c r="L30" s="18"/>
      <c r="M30" s="18"/>
    </row>
    <row r="31" spans="1:14" s="15" customFormat="1" x14ac:dyDescent="0.2">
      <c r="A31" s="231"/>
      <c r="B31" s="39" t="s">
        <v>35</v>
      </c>
      <c r="C31" s="159"/>
      <c r="D31" s="120" t="s">
        <v>6</v>
      </c>
      <c r="E31" s="160">
        <v>176.32</v>
      </c>
      <c r="F31" s="121">
        <f>SUM(C31)*(E31)</f>
        <v>0</v>
      </c>
      <c r="G31" s="16">
        <f t="shared" si="1"/>
        <v>0</v>
      </c>
      <c r="H31" s="16">
        <f t="shared" si="2"/>
        <v>0</v>
      </c>
      <c r="I31" s="21">
        <f t="shared" si="3"/>
        <v>0</v>
      </c>
    </row>
    <row r="32" spans="1:14" s="15" customFormat="1" x14ac:dyDescent="0.2">
      <c r="A32" s="231"/>
      <c r="B32" s="39" t="s">
        <v>166</v>
      </c>
      <c r="C32" s="161">
        <v>2</v>
      </c>
      <c r="D32" s="120" t="s">
        <v>6</v>
      </c>
      <c r="E32" s="160">
        <v>114</v>
      </c>
      <c r="F32" s="121">
        <f>SUM(C32)*(E32)</f>
        <v>228</v>
      </c>
      <c r="G32" s="16">
        <f t="shared" si="1"/>
        <v>14.25</v>
      </c>
      <c r="H32" s="16">
        <f t="shared" si="2"/>
        <v>242.25</v>
      </c>
      <c r="I32" s="21">
        <f t="shared" si="3"/>
        <v>339.15</v>
      </c>
    </row>
    <row r="33" spans="1:14" s="15" customFormat="1" x14ac:dyDescent="0.2">
      <c r="A33" s="231"/>
      <c r="B33" s="49" t="s">
        <v>26</v>
      </c>
      <c r="C33" s="161">
        <f>IF(AND('Take off'!C28=400,'Take off'!F8="CertainTeed"),'Take off'!D28,0)</f>
        <v>0</v>
      </c>
      <c r="D33" s="120" t="s">
        <v>6</v>
      </c>
      <c r="E33" s="160">
        <v>63.38</v>
      </c>
      <c r="F33" s="121">
        <f t="shared" si="0"/>
        <v>0</v>
      </c>
      <c r="G33" s="16">
        <f t="shared" si="1"/>
        <v>0</v>
      </c>
      <c r="H33" s="16">
        <f t="shared" si="2"/>
        <v>0</v>
      </c>
      <c r="I33" s="21">
        <f t="shared" si="3"/>
        <v>0</v>
      </c>
    </row>
    <row r="34" spans="1:14" s="15" customFormat="1" x14ac:dyDescent="0.2">
      <c r="A34" s="231"/>
      <c r="B34" s="39" t="s">
        <v>36</v>
      </c>
      <c r="C34" s="159"/>
      <c r="D34" s="120" t="s">
        <v>6</v>
      </c>
      <c r="E34" s="160">
        <v>268.39</v>
      </c>
      <c r="F34" s="121">
        <f>SUM(C34)*(E34)</f>
        <v>0</v>
      </c>
      <c r="G34" s="16">
        <f t="shared" si="1"/>
        <v>0</v>
      </c>
      <c r="H34" s="16">
        <f t="shared" si="2"/>
        <v>0</v>
      </c>
      <c r="I34" s="21">
        <f t="shared" si="3"/>
        <v>0</v>
      </c>
      <c r="L34" s="18"/>
      <c r="M34" s="18"/>
    </row>
    <row r="35" spans="1:14" s="15" customFormat="1" x14ac:dyDescent="0.2">
      <c r="A35" s="231"/>
      <c r="B35" s="39" t="s">
        <v>54</v>
      </c>
      <c r="C35" s="161">
        <v>2</v>
      </c>
      <c r="D35" s="120" t="s">
        <v>7</v>
      </c>
      <c r="E35" s="160">
        <v>62</v>
      </c>
      <c r="F35" s="121">
        <f t="shared" si="0"/>
        <v>124</v>
      </c>
      <c r="G35" s="16">
        <f t="shared" si="1"/>
        <v>7.75</v>
      </c>
      <c r="H35" s="16">
        <f t="shared" si="2"/>
        <v>131.75</v>
      </c>
      <c r="I35" s="21">
        <f t="shared" si="3"/>
        <v>184.45</v>
      </c>
    </row>
    <row r="36" spans="1:14" s="15" customFormat="1" x14ac:dyDescent="0.2">
      <c r="A36" s="231"/>
      <c r="B36" s="49" t="s">
        <v>30</v>
      </c>
      <c r="C36" s="159"/>
      <c r="D36" s="120" t="s">
        <v>7</v>
      </c>
      <c r="E36" s="121">
        <v>62</v>
      </c>
      <c r="F36" s="121">
        <f t="shared" si="0"/>
        <v>0</v>
      </c>
      <c r="G36" s="16">
        <f t="shared" si="1"/>
        <v>0</v>
      </c>
      <c r="H36" s="16">
        <f t="shared" si="2"/>
        <v>0</v>
      </c>
      <c r="I36" s="21">
        <f t="shared" si="3"/>
        <v>0</v>
      </c>
      <c r="L36" s="18"/>
      <c r="M36" s="18"/>
    </row>
    <row r="37" spans="1:14" s="15" customFormat="1" x14ac:dyDescent="0.2">
      <c r="A37" s="231"/>
      <c r="B37" s="39" t="s">
        <v>169</v>
      </c>
      <c r="C37" s="161">
        <v>0</v>
      </c>
      <c r="D37" s="120" t="s">
        <v>9</v>
      </c>
      <c r="E37" s="160">
        <v>115.41</v>
      </c>
      <c r="F37" s="121">
        <f>SUM(C37)*(E37)</f>
        <v>0</v>
      </c>
      <c r="G37" s="16">
        <f t="shared" si="1"/>
        <v>0</v>
      </c>
      <c r="H37" s="16">
        <f t="shared" si="2"/>
        <v>0</v>
      </c>
      <c r="I37" s="21">
        <f t="shared" si="3"/>
        <v>0</v>
      </c>
      <c r="L37" s="18"/>
      <c r="M37" s="18"/>
    </row>
    <row r="38" spans="1:14" s="15" customFormat="1" x14ac:dyDescent="0.2">
      <c r="A38" s="231"/>
      <c r="B38" s="39" t="s">
        <v>51</v>
      </c>
      <c r="C38" s="159">
        <v>21</v>
      </c>
      <c r="D38" s="120" t="s">
        <v>9</v>
      </c>
      <c r="E38" s="160">
        <v>147</v>
      </c>
      <c r="F38" s="121">
        <f>SUM(C38)*(E38)</f>
        <v>3087</v>
      </c>
      <c r="G38" s="16">
        <f t="shared" si="1"/>
        <v>192.9375</v>
      </c>
      <c r="H38" s="16">
        <f t="shared" si="2"/>
        <v>3279.9375</v>
      </c>
      <c r="I38" s="21">
        <f t="shared" si="3"/>
        <v>4591.9124999999995</v>
      </c>
      <c r="L38" s="18"/>
      <c r="M38" s="18"/>
    </row>
    <row r="39" spans="1:14" s="15" customFormat="1" x14ac:dyDescent="0.2">
      <c r="A39" s="231"/>
      <c r="B39" s="39" t="s">
        <v>159</v>
      </c>
      <c r="C39" s="159"/>
      <c r="D39" s="120" t="s">
        <v>9</v>
      </c>
      <c r="E39" s="121">
        <v>250</v>
      </c>
      <c r="F39" s="121">
        <f>SUM(C39)*(E39)</f>
        <v>0</v>
      </c>
      <c r="G39" s="16">
        <f t="shared" si="1"/>
        <v>0</v>
      </c>
      <c r="H39" s="16">
        <f t="shared" si="2"/>
        <v>0</v>
      </c>
      <c r="I39" s="21">
        <f t="shared" si="3"/>
        <v>0</v>
      </c>
      <c r="L39" s="18"/>
      <c r="M39" s="18"/>
    </row>
    <row r="40" spans="1:14" s="15" customFormat="1" x14ac:dyDescent="0.2">
      <c r="A40" s="231"/>
      <c r="B40" s="39" t="s">
        <v>52</v>
      </c>
      <c r="C40" s="161">
        <f>IF(AND('Take off'!C30=20,'Take off'!F8="CertainTeed"), 'Take off'!D30,0)</f>
        <v>0</v>
      </c>
      <c r="D40" s="120" t="s">
        <v>7</v>
      </c>
      <c r="E40" s="160">
        <v>54</v>
      </c>
      <c r="F40" s="121">
        <f>SUM(C40)*(E40)</f>
        <v>0</v>
      </c>
      <c r="G40" s="16">
        <f t="shared" si="1"/>
        <v>0</v>
      </c>
      <c r="H40" s="16">
        <f t="shared" si="2"/>
        <v>0</v>
      </c>
      <c r="I40" s="21">
        <f t="shared" si="3"/>
        <v>0</v>
      </c>
      <c r="L40" s="18"/>
      <c r="M40" s="18"/>
    </row>
    <row r="41" spans="1:14" s="15" customFormat="1" x14ac:dyDescent="0.2">
      <c r="A41" s="231"/>
      <c r="B41" s="49" t="s">
        <v>27</v>
      </c>
      <c r="C41" s="161">
        <v>3</v>
      </c>
      <c r="D41" s="120" t="s">
        <v>7</v>
      </c>
      <c r="E41" s="160">
        <v>72</v>
      </c>
      <c r="F41" s="121">
        <f t="shared" si="0"/>
        <v>216</v>
      </c>
      <c r="G41" s="16">
        <f t="shared" si="1"/>
        <v>13.5</v>
      </c>
      <c r="H41" s="16">
        <f t="shared" si="2"/>
        <v>229.5</v>
      </c>
      <c r="I41" s="21">
        <f t="shared" si="3"/>
        <v>321.29999999999995</v>
      </c>
      <c r="L41" s="18"/>
      <c r="M41" s="18"/>
    </row>
    <row r="42" spans="1:14" s="15" customFormat="1" ht="13.5" thickBot="1" x14ac:dyDescent="0.25">
      <c r="A42" s="231"/>
      <c r="B42" s="39" t="s">
        <v>53</v>
      </c>
      <c r="C42" s="162">
        <v>17</v>
      </c>
      <c r="D42" s="15" t="s">
        <v>17</v>
      </c>
      <c r="E42" s="160">
        <v>14.57</v>
      </c>
      <c r="F42" s="121">
        <f t="shared" si="0"/>
        <v>247.69</v>
      </c>
      <c r="G42" s="16">
        <f t="shared" si="1"/>
        <v>15.480625</v>
      </c>
      <c r="H42" s="16">
        <f t="shared" si="2"/>
        <v>263.17062499999997</v>
      </c>
      <c r="I42" s="21">
        <f t="shared" si="3"/>
        <v>368.43887499999994</v>
      </c>
    </row>
    <row r="43" spans="1:14" s="15" customFormat="1" ht="12.75" customHeight="1" x14ac:dyDescent="0.2">
      <c r="A43" s="227" t="s">
        <v>29</v>
      </c>
      <c r="B43" s="148" t="s">
        <v>46</v>
      </c>
      <c r="C43" s="149">
        <v>23</v>
      </c>
      <c r="D43" s="150" t="s">
        <v>18</v>
      </c>
      <c r="E43" s="157">
        <v>11.5</v>
      </c>
      <c r="F43" s="151">
        <f t="shared" si="0"/>
        <v>264.5</v>
      </c>
      <c r="G43" s="168">
        <f t="shared" si="1"/>
        <v>16.53125</v>
      </c>
      <c r="H43" s="168">
        <f t="shared" si="2"/>
        <v>281.03125</v>
      </c>
      <c r="I43" s="169">
        <f t="shared" si="3"/>
        <v>393.44374999999997</v>
      </c>
    </row>
    <row r="44" spans="1:14" s="10" customFormat="1" ht="12.75" customHeight="1" x14ac:dyDescent="0.2">
      <c r="A44" s="228"/>
      <c r="B44" s="39" t="s">
        <v>40</v>
      </c>
      <c r="C44" s="147">
        <v>3</v>
      </c>
      <c r="D44" s="120" t="s">
        <v>19</v>
      </c>
      <c r="E44" s="160">
        <v>62.039099999999998</v>
      </c>
      <c r="F44" s="121">
        <f t="shared" ref="F44:F65" si="4">SUM(C44)*(E44)</f>
        <v>186.1173</v>
      </c>
      <c r="G44" s="16">
        <f t="shared" si="1"/>
        <v>11.63233125</v>
      </c>
      <c r="H44" s="16">
        <f t="shared" si="2"/>
        <v>197.74963124999999</v>
      </c>
      <c r="I44" s="21">
        <f t="shared" si="3"/>
        <v>276.84948374999999</v>
      </c>
      <c r="M44" s="22"/>
      <c r="N44" s="22"/>
    </row>
    <row r="45" spans="1:14" s="46" customFormat="1" ht="12.75" customHeight="1" x14ac:dyDescent="0.2">
      <c r="A45" s="228"/>
      <c r="B45" s="49" t="s">
        <v>20</v>
      </c>
      <c r="C45" s="147">
        <v>0</v>
      </c>
      <c r="D45" s="120" t="s">
        <v>6</v>
      </c>
      <c r="E45" s="160">
        <v>139.2303</v>
      </c>
      <c r="F45" s="121">
        <f t="shared" si="4"/>
        <v>0</v>
      </c>
      <c r="G45" s="16">
        <f t="shared" si="1"/>
        <v>0</v>
      </c>
      <c r="H45" s="16">
        <f t="shared" si="2"/>
        <v>0</v>
      </c>
      <c r="I45" s="21">
        <f t="shared" si="3"/>
        <v>0</v>
      </c>
      <c r="N45" s="48"/>
    </row>
    <row r="46" spans="1:14" s="46" customFormat="1" ht="12.75" customHeight="1" x14ac:dyDescent="0.2">
      <c r="A46" s="228"/>
      <c r="B46" s="39" t="s">
        <v>50</v>
      </c>
      <c r="C46" s="159"/>
      <c r="D46" s="120" t="s">
        <v>6</v>
      </c>
      <c r="E46" s="160">
        <v>16</v>
      </c>
      <c r="F46" s="121">
        <f t="shared" si="4"/>
        <v>0</v>
      </c>
      <c r="G46" s="16">
        <f t="shared" si="1"/>
        <v>0</v>
      </c>
      <c r="H46" s="16">
        <f t="shared" si="2"/>
        <v>0</v>
      </c>
      <c r="I46" s="21">
        <f t="shared" ref="I46" si="5">SUM(H46)*1.4</f>
        <v>0</v>
      </c>
      <c r="N46" s="48"/>
    </row>
    <row r="47" spans="1:14" s="10" customFormat="1" x14ac:dyDescent="0.2">
      <c r="A47" s="228"/>
      <c r="B47" s="39" t="s">
        <v>192</v>
      </c>
      <c r="C47" s="147">
        <v>0</v>
      </c>
      <c r="D47" s="120" t="s">
        <v>15</v>
      </c>
      <c r="E47" s="160">
        <v>3.89</v>
      </c>
      <c r="F47" s="121">
        <f t="shared" si="4"/>
        <v>0</v>
      </c>
      <c r="G47" s="16">
        <f t="shared" si="1"/>
        <v>0</v>
      </c>
      <c r="H47" s="16">
        <f t="shared" si="2"/>
        <v>0</v>
      </c>
      <c r="I47" s="21">
        <f t="shared" si="3"/>
        <v>0</v>
      </c>
      <c r="M47" s="22"/>
      <c r="N47" s="22"/>
    </row>
    <row r="48" spans="1:14" s="10" customFormat="1" x14ac:dyDescent="0.2">
      <c r="A48" s="228"/>
      <c r="B48" s="39" t="s">
        <v>141</v>
      </c>
      <c r="C48" s="152">
        <v>6</v>
      </c>
      <c r="D48" s="15" t="s">
        <v>15</v>
      </c>
      <c r="E48" s="160">
        <v>5.85</v>
      </c>
      <c r="F48" s="121">
        <f t="shared" si="4"/>
        <v>35.099999999999994</v>
      </c>
      <c r="G48" s="16">
        <f t="shared" si="1"/>
        <v>2.1937499999999996</v>
      </c>
      <c r="H48" s="16">
        <f t="shared" si="2"/>
        <v>37.293749999999996</v>
      </c>
      <c r="I48" s="21">
        <f t="shared" si="3"/>
        <v>52.211249999999993</v>
      </c>
      <c r="M48" s="22"/>
      <c r="N48" s="22"/>
    </row>
    <row r="49" spans="1:14" s="15" customFormat="1" x14ac:dyDescent="0.2">
      <c r="A49" s="228"/>
      <c r="B49" s="49" t="s">
        <v>22</v>
      </c>
      <c r="C49" s="152">
        <v>0</v>
      </c>
      <c r="D49" s="120" t="s">
        <v>16</v>
      </c>
      <c r="E49" s="121">
        <v>8.42</v>
      </c>
      <c r="F49" s="121">
        <f t="shared" si="4"/>
        <v>0</v>
      </c>
      <c r="G49" s="16">
        <f t="shared" si="1"/>
        <v>0</v>
      </c>
      <c r="H49" s="16">
        <f t="shared" si="2"/>
        <v>0</v>
      </c>
      <c r="I49" s="21">
        <f t="shared" si="3"/>
        <v>0</v>
      </c>
      <c r="M49" s="18"/>
      <c r="N49" s="18"/>
    </row>
    <row r="50" spans="1:14" s="15" customFormat="1" x14ac:dyDescent="0.2">
      <c r="A50" s="228"/>
      <c r="B50" s="49" t="s">
        <v>21</v>
      </c>
      <c r="C50" s="147">
        <v>2</v>
      </c>
      <c r="D50" s="120" t="s">
        <v>16</v>
      </c>
      <c r="E50" s="160">
        <v>12.8725</v>
      </c>
      <c r="F50" s="121">
        <f t="shared" si="4"/>
        <v>25.745000000000001</v>
      </c>
      <c r="G50" s="16">
        <f t="shared" si="1"/>
        <v>1.6090625000000001</v>
      </c>
      <c r="H50" s="16">
        <f t="shared" si="2"/>
        <v>27.354062500000001</v>
      </c>
      <c r="I50" s="21">
        <f t="shared" si="3"/>
        <v>38.2956875</v>
      </c>
      <c r="M50" s="18"/>
      <c r="N50" s="18"/>
    </row>
    <row r="51" spans="1:14" s="15" customFormat="1" x14ac:dyDescent="0.2">
      <c r="A51" s="228"/>
      <c r="B51" s="39" t="s">
        <v>157</v>
      </c>
      <c r="C51" s="152">
        <v>0</v>
      </c>
      <c r="D51" s="15" t="s">
        <v>16</v>
      </c>
      <c r="E51" s="121">
        <v>25</v>
      </c>
      <c r="F51" s="121">
        <f t="shared" si="4"/>
        <v>0</v>
      </c>
      <c r="G51" s="16">
        <f t="shared" si="1"/>
        <v>0</v>
      </c>
      <c r="H51" s="16">
        <f t="shared" si="2"/>
        <v>0</v>
      </c>
      <c r="I51" s="21">
        <f t="shared" si="3"/>
        <v>0</v>
      </c>
      <c r="M51" s="18"/>
      <c r="N51" s="18"/>
    </row>
    <row r="52" spans="1:14" s="15" customFormat="1" x14ac:dyDescent="0.2">
      <c r="A52" s="228"/>
      <c r="B52" s="39" t="s">
        <v>191</v>
      </c>
      <c r="C52" s="152">
        <v>0</v>
      </c>
      <c r="D52" s="15" t="s">
        <v>8</v>
      </c>
      <c r="E52" s="160">
        <v>15.0932</v>
      </c>
      <c r="F52" s="121">
        <f t="shared" si="4"/>
        <v>0</v>
      </c>
      <c r="G52" s="16">
        <f t="shared" si="1"/>
        <v>0</v>
      </c>
      <c r="H52" s="16">
        <f t="shared" si="2"/>
        <v>0</v>
      </c>
      <c r="I52" s="21">
        <f t="shared" si="3"/>
        <v>0</v>
      </c>
      <c r="M52" s="18"/>
      <c r="N52" s="18"/>
    </row>
    <row r="53" spans="1:14" s="10" customFormat="1" x14ac:dyDescent="0.2">
      <c r="A53" s="228"/>
      <c r="B53" s="39" t="s">
        <v>140</v>
      </c>
      <c r="C53" s="161">
        <v>2</v>
      </c>
      <c r="D53" s="120" t="s">
        <v>8</v>
      </c>
      <c r="E53" s="160">
        <v>45</v>
      </c>
      <c r="F53" s="121">
        <f t="shared" si="4"/>
        <v>90</v>
      </c>
      <c r="G53" s="16">
        <f t="shared" si="1"/>
        <v>5.625</v>
      </c>
      <c r="H53" s="16">
        <f t="shared" si="2"/>
        <v>95.625</v>
      </c>
      <c r="I53" s="21">
        <f t="shared" si="3"/>
        <v>133.875</v>
      </c>
      <c r="M53" s="22"/>
      <c r="N53" s="22"/>
    </row>
    <row r="54" spans="1:14" s="15" customFormat="1" ht="12.75" customHeight="1" x14ac:dyDescent="0.2">
      <c r="A54" s="228"/>
      <c r="B54" s="39" t="s">
        <v>41</v>
      </c>
      <c r="C54" s="170">
        <v>0</v>
      </c>
      <c r="D54" s="120" t="s">
        <v>33</v>
      </c>
      <c r="E54" s="160">
        <v>35</v>
      </c>
      <c r="F54" s="121">
        <f>SUM(C54)*(E54)</f>
        <v>0</v>
      </c>
      <c r="G54" s="16">
        <f t="shared" si="1"/>
        <v>0</v>
      </c>
      <c r="H54" s="16">
        <f t="shared" si="2"/>
        <v>0</v>
      </c>
      <c r="I54" s="21">
        <f t="shared" si="3"/>
        <v>0</v>
      </c>
    </row>
    <row r="55" spans="1:14" s="15" customFormat="1" x14ac:dyDescent="0.2">
      <c r="A55" s="228"/>
      <c r="B55" s="39" t="s">
        <v>49</v>
      </c>
      <c r="C55" s="170">
        <v>1</v>
      </c>
      <c r="D55" s="15" t="s">
        <v>173</v>
      </c>
      <c r="E55" s="160">
        <v>136</v>
      </c>
      <c r="F55" s="121">
        <f>SUM(C55)*(E55)</f>
        <v>136</v>
      </c>
      <c r="G55" s="16">
        <f t="shared" si="1"/>
        <v>8.5</v>
      </c>
      <c r="H55" s="16">
        <f t="shared" si="2"/>
        <v>144.5</v>
      </c>
      <c r="I55" s="21">
        <f t="shared" si="3"/>
        <v>202.29999999999998</v>
      </c>
    </row>
    <row r="56" spans="1:14" s="15" customFormat="1" x14ac:dyDescent="0.2">
      <c r="A56" s="228"/>
      <c r="B56" s="39" t="s">
        <v>154</v>
      </c>
      <c r="C56" s="170"/>
      <c r="D56" s="15" t="s">
        <v>17</v>
      </c>
      <c r="E56" s="160">
        <v>43.91</v>
      </c>
      <c r="F56" s="121">
        <f t="shared" si="4"/>
        <v>0</v>
      </c>
      <c r="G56" s="16">
        <f t="shared" si="1"/>
        <v>0</v>
      </c>
      <c r="H56" s="16">
        <f t="shared" si="2"/>
        <v>0</v>
      </c>
      <c r="I56" s="21">
        <f t="shared" si="3"/>
        <v>0</v>
      </c>
    </row>
    <row r="57" spans="1:14" s="15" customFormat="1" ht="13.5" thickBot="1" x14ac:dyDescent="0.25">
      <c r="A57" s="229"/>
      <c r="B57" s="164" t="s">
        <v>155</v>
      </c>
      <c r="C57" s="181">
        <v>0</v>
      </c>
      <c r="D57" s="165" t="s">
        <v>17</v>
      </c>
      <c r="E57" s="163">
        <v>26.09</v>
      </c>
      <c r="F57" s="52">
        <f t="shared" si="4"/>
        <v>0</v>
      </c>
      <c r="G57" s="166">
        <f t="shared" si="1"/>
        <v>0</v>
      </c>
      <c r="H57" s="166">
        <f t="shared" si="2"/>
        <v>0</v>
      </c>
      <c r="I57" s="167">
        <f t="shared" si="3"/>
        <v>0</v>
      </c>
    </row>
    <row r="58" spans="1:14" s="46" customFormat="1" x14ac:dyDescent="0.2">
      <c r="A58" s="238" t="s">
        <v>31</v>
      </c>
      <c r="B58" s="148" t="s">
        <v>197</v>
      </c>
      <c r="C58" s="150">
        <v>0</v>
      </c>
      <c r="D58" s="182"/>
      <c r="E58" s="151">
        <v>836</v>
      </c>
      <c r="F58" s="151">
        <f t="shared" ref="F58:F64" si="6">SUM(C58)*(E58)</f>
        <v>0</v>
      </c>
      <c r="G58" s="168">
        <f t="shared" si="1"/>
        <v>0</v>
      </c>
      <c r="H58" s="168">
        <f t="shared" si="2"/>
        <v>0</v>
      </c>
      <c r="I58" s="169">
        <f t="shared" si="3"/>
        <v>0</v>
      </c>
    </row>
    <row r="59" spans="1:14" s="46" customFormat="1" x14ac:dyDescent="0.2">
      <c r="A59" s="239"/>
      <c r="B59" s="39" t="s">
        <v>198</v>
      </c>
      <c r="C59" s="120">
        <v>0</v>
      </c>
      <c r="D59" s="15"/>
      <c r="E59" s="121">
        <v>1018</v>
      </c>
      <c r="F59" s="121">
        <f t="shared" si="6"/>
        <v>0</v>
      </c>
      <c r="G59" s="16">
        <f t="shared" si="1"/>
        <v>0</v>
      </c>
      <c r="H59" s="16">
        <f t="shared" si="2"/>
        <v>0</v>
      </c>
      <c r="I59" s="21">
        <f t="shared" si="3"/>
        <v>0</v>
      </c>
    </row>
    <row r="60" spans="1:14" s="46" customFormat="1" x14ac:dyDescent="0.2">
      <c r="A60" s="239"/>
      <c r="B60" s="39" t="s">
        <v>199</v>
      </c>
      <c r="C60" s="120">
        <v>0</v>
      </c>
      <c r="D60" s="15"/>
      <c r="E60" s="121">
        <v>138</v>
      </c>
      <c r="F60" s="121">
        <f t="shared" ref="F60:F61" si="7">SUM(C60)*(E60)</f>
        <v>0</v>
      </c>
      <c r="G60" s="16">
        <f t="shared" ref="G60:G61" si="8">SUM(F60)*0.0625</f>
        <v>0</v>
      </c>
      <c r="H60" s="16">
        <f t="shared" ref="H60:H61" si="9">SUM(F60:G60)</f>
        <v>0</v>
      </c>
      <c r="I60" s="21">
        <f t="shared" ref="I60:I61" si="10">SUM(H60)*1.4</f>
        <v>0</v>
      </c>
    </row>
    <row r="61" spans="1:14" s="46" customFormat="1" x14ac:dyDescent="0.2">
      <c r="A61" s="239"/>
      <c r="B61" s="39"/>
      <c r="C61" s="120"/>
      <c r="D61" s="15"/>
      <c r="E61" s="121"/>
      <c r="F61" s="121">
        <f t="shared" si="7"/>
        <v>0</v>
      </c>
      <c r="G61" s="16">
        <f t="shared" si="8"/>
        <v>0</v>
      </c>
      <c r="H61" s="16">
        <f t="shared" si="9"/>
        <v>0</v>
      </c>
      <c r="I61" s="21">
        <f t="shared" si="10"/>
        <v>0</v>
      </c>
    </row>
    <row r="62" spans="1:14" s="46" customFormat="1" x14ac:dyDescent="0.2">
      <c r="A62" s="239"/>
      <c r="B62" s="39"/>
      <c r="C62" s="120"/>
      <c r="D62" s="15"/>
      <c r="E62" s="121"/>
      <c r="F62" s="121">
        <f t="shared" si="6"/>
        <v>0</v>
      </c>
      <c r="G62" s="16">
        <f t="shared" si="1"/>
        <v>0</v>
      </c>
      <c r="H62" s="16">
        <f t="shared" si="2"/>
        <v>0</v>
      </c>
      <c r="I62" s="21">
        <f t="shared" si="3"/>
        <v>0</v>
      </c>
    </row>
    <row r="63" spans="1:14" s="46" customFormat="1" x14ac:dyDescent="0.2">
      <c r="A63" s="239"/>
      <c r="B63" s="39"/>
      <c r="C63" s="120"/>
      <c r="D63" s="15"/>
      <c r="E63" s="121"/>
      <c r="F63" s="121">
        <f t="shared" si="6"/>
        <v>0</v>
      </c>
      <c r="G63" s="16">
        <f t="shared" si="1"/>
        <v>0</v>
      </c>
      <c r="H63" s="16">
        <f t="shared" si="2"/>
        <v>0</v>
      </c>
      <c r="I63" s="21">
        <f t="shared" si="3"/>
        <v>0</v>
      </c>
    </row>
    <row r="64" spans="1:14" s="15" customFormat="1" x14ac:dyDescent="0.2">
      <c r="A64" s="239"/>
      <c r="B64" s="39"/>
      <c r="C64" s="120"/>
      <c r="D64" s="120"/>
      <c r="E64" s="121"/>
      <c r="F64" s="121">
        <f t="shared" si="6"/>
        <v>0</v>
      </c>
      <c r="G64" s="16">
        <f t="shared" si="1"/>
        <v>0</v>
      </c>
      <c r="H64" s="16">
        <f t="shared" si="2"/>
        <v>0</v>
      </c>
      <c r="I64" s="21">
        <f t="shared" si="3"/>
        <v>0</v>
      </c>
    </row>
    <row r="65" spans="1:14" s="15" customFormat="1" ht="13.5" thickBot="1" x14ac:dyDescent="0.25">
      <c r="A65" s="240"/>
      <c r="B65" s="50"/>
      <c r="C65" s="51"/>
      <c r="D65" s="51"/>
      <c r="E65" s="52"/>
      <c r="F65" s="52">
        <f t="shared" si="4"/>
        <v>0</v>
      </c>
      <c r="G65" s="166">
        <f t="shared" si="1"/>
        <v>0</v>
      </c>
      <c r="H65" s="166">
        <f t="shared" si="2"/>
        <v>0</v>
      </c>
      <c r="I65" s="167">
        <f t="shared" si="3"/>
        <v>0</v>
      </c>
      <c r="M65" s="18"/>
      <c r="N65" s="18"/>
    </row>
    <row r="66" spans="1:14" s="15" customFormat="1" ht="13.5" thickBot="1" x14ac:dyDescent="0.25">
      <c r="A66" s="183"/>
      <c r="B66" s="39"/>
      <c r="D66" s="32" t="s">
        <v>34</v>
      </c>
      <c r="E66" s="19"/>
      <c r="F66" s="19">
        <f>SUM(F14:F65)*0.02</f>
        <v>101.80304599999999</v>
      </c>
      <c r="H66" s="16"/>
      <c r="I66" s="21"/>
      <c r="M66" s="18"/>
      <c r="N66" s="18"/>
    </row>
    <row r="67" spans="1:14" ht="13.5" thickBot="1" x14ac:dyDescent="0.25">
      <c r="A67" s="173" t="s">
        <v>121</v>
      </c>
      <c r="B67" s="173" t="s">
        <v>23</v>
      </c>
      <c r="C67" s="105"/>
      <c r="D67" s="14" t="s">
        <v>13</v>
      </c>
      <c r="E67" s="5"/>
      <c r="F67" s="5">
        <f>SUM(F14:F66)</f>
        <v>5191.9553459999997</v>
      </c>
      <c r="G67" s="5">
        <f>IFERROR(F67/B11,0)</f>
        <v>2.732608076842105</v>
      </c>
      <c r="H67" s="10" t="s">
        <v>37</v>
      </c>
      <c r="I67" s="31"/>
      <c r="M67" s="1"/>
      <c r="N67" s="1"/>
    </row>
    <row r="68" spans="1:14" x14ac:dyDescent="0.2">
      <c r="A68" s="103" t="str">
        <f>IF($A$77="Yes","No",IF(AND('Take off'!$D$8=0,'Take off'!$B$8&lt;8),"Yes","No"))</f>
        <v>No</v>
      </c>
      <c r="B68" s="104" t="s">
        <v>55</v>
      </c>
      <c r="C68" s="105">
        <v>75</v>
      </c>
      <c r="D68" s="14" t="s">
        <v>58</v>
      </c>
      <c r="E68" s="5"/>
      <c r="F68" s="5">
        <f>IF(G68="Taxable",(SUM(F67)*0.0625),0)</f>
        <v>324.49720912499998</v>
      </c>
      <c r="G68" s="142" t="s">
        <v>150</v>
      </c>
      <c r="I68" s="31"/>
      <c r="K68" s="100">
        <f>IF(OR(A68="y",A68="yes"),C68,0)</f>
        <v>0</v>
      </c>
      <c r="M68" s="1"/>
      <c r="N68" s="1"/>
    </row>
    <row r="69" spans="1:14" ht="13.5" thickBot="1" x14ac:dyDescent="0.25">
      <c r="A69" s="102" t="str">
        <f>IF($A$77="Yes","No",IF(AND('Take off'!$D$8=0,'Take off'!$B$8&gt;=8),"Yes","No"))</f>
        <v>No</v>
      </c>
      <c r="B69" s="66" t="s">
        <v>64</v>
      </c>
      <c r="C69" s="106">
        <v>85</v>
      </c>
      <c r="D69" s="32" t="s">
        <v>195</v>
      </c>
      <c r="E69" s="19">
        <v>250</v>
      </c>
      <c r="F69" s="99">
        <v>400</v>
      </c>
      <c r="I69" s="9"/>
      <c r="K69" s="100">
        <f t="shared" ref="K69" si="11">IF(OR(A69="y",A69="yes"),C69,0)</f>
        <v>0</v>
      </c>
      <c r="M69" s="1"/>
      <c r="N69" s="1"/>
    </row>
    <row r="70" spans="1:14" ht="13.5" thickBot="1" x14ac:dyDescent="0.25">
      <c r="A70" s="64"/>
      <c r="B70" s="65"/>
      <c r="C70" s="106"/>
      <c r="D70" s="63" t="s">
        <v>4</v>
      </c>
      <c r="E70" s="97">
        <v>150</v>
      </c>
      <c r="F70" s="5">
        <f>((C22+C23+(C24/3)+C25+C37+C38+C39+((C19+C20+C26+C27+C35+C36+C40+C41)/5))*E70)+C78</f>
        <v>3300</v>
      </c>
      <c r="G70" s="14" t="s">
        <v>152</v>
      </c>
      <c r="I70" s="31"/>
      <c r="K70" s="100">
        <f t="shared" ref="K70:K77" si="12">IF(OR(A70="y",A70="yes"),C70,0)</f>
        <v>0</v>
      </c>
      <c r="M70" s="1"/>
      <c r="N70" s="1"/>
    </row>
    <row r="71" spans="1:14" s="10" customFormat="1" x14ac:dyDescent="0.2">
      <c r="A71" s="103" t="str">
        <f>IF($A$77="Yes","No",IF(AND('Take off'!$D$8=1,'Take off'!$B$8&lt;8),"Yes","No"))</f>
        <v>No</v>
      </c>
      <c r="B71" s="104" t="s">
        <v>56</v>
      </c>
      <c r="C71" s="106">
        <v>130</v>
      </c>
      <c r="D71" s="55" t="s">
        <v>201</v>
      </c>
      <c r="E71" s="56">
        <v>0</v>
      </c>
      <c r="F71" s="56">
        <v>0</v>
      </c>
      <c r="I71" s="40"/>
      <c r="K71" s="100">
        <f t="shared" si="12"/>
        <v>0</v>
      </c>
      <c r="M71" s="22"/>
      <c r="N71" s="22"/>
    </row>
    <row r="72" spans="1:14" s="10" customFormat="1" ht="13.5" thickBot="1" x14ac:dyDescent="0.25">
      <c r="A72" s="102" t="str">
        <f>IF($A$77="Yes","No",IF(AND('Take off'!$D$8=1,'Take off'!$B$8&gt;=8),"Yes","No"))</f>
        <v>No</v>
      </c>
      <c r="B72" s="66" t="s">
        <v>63</v>
      </c>
      <c r="C72" s="106">
        <v>140</v>
      </c>
      <c r="D72" s="32" t="s">
        <v>32</v>
      </c>
      <c r="E72" s="19"/>
      <c r="F72" s="19">
        <v>0</v>
      </c>
      <c r="I72" s="40"/>
      <c r="K72" s="100">
        <f t="shared" si="12"/>
        <v>0</v>
      </c>
      <c r="M72" s="22"/>
      <c r="N72" s="22"/>
    </row>
    <row r="73" spans="1:14" s="10" customFormat="1" ht="13.5" thickBot="1" x14ac:dyDescent="0.25">
      <c r="A73" s="64"/>
      <c r="B73" s="64"/>
      <c r="C73" s="106"/>
      <c r="D73" s="32" t="s">
        <v>144</v>
      </c>
      <c r="E73" s="19"/>
      <c r="F73" s="19">
        <v>0</v>
      </c>
      <c r="G73"/>
      <c r="H73"/>
      <c r="I73" s="9"/>
      <c r="K73" s="100">
        <f t="shared" si="12"/>
        <v>0</v>
      </c>
      <c r="M73" s="22"/>
      <c r="N73" s="22"/>
    </row>
    <row r="74" spans="1:14" s="10" customFormat="1" x14ac:dyDescent="0.2">
      <c r="A74" s="103" t="s">
        <v>167</v>
      </c>
      <c r="B74" s="104" t="s">
        <v>57</v>
      </c>
      <c r="C74" s="106">
        <v>150</v>
      </c>
      <c r="D74" s="36" t="s">
        <v>149</v>
      </c>
      <c r="E74" s="172" t="s">
        <v>167</v>
      </c>
      <c r="F74" s="28">
        <f>IF(E74="Yes",500,0)</f>
        <v>0</v>
      </c>
      <c r="G74" s="27"/>
      <c r="H74" s="27"/>
      <c r="I74" s="29"/>
      <c r="K74" s="100">
        <f t="shared" si="12"/>
        <v>0</v>
      </c>
      <c r="M74" s="22"/>
      <c r="N74" s="22"/>
    </row>
    <row r="75" spans="1:14" ht="13.5" thickBot="1" x14ac:dyDescent="0.25">
      <c r="A75" s="102" t="s">
        <v>187</v>
      </c>
      <c r="B75" s="66" t="s">
        <v>193</v>
      </c>
      <c r="C75" s="106">
        <v>235</v>
      </c>
      <c r="D75" s="32" t="s">
        <v>147</v>
      </c>
      <c r="E75" s="19">
        <v>1000</v>
      </c>
      <c r="F75" s="19">
        <v>1400</v>
      </c>
      <c r="G75" s="15"/>
      <c r="H75" s="15"/>
      <c r="I75" s="17"/>
      <c r="K75" s="100">
        <f t="shared" si="12"/>
        <v>235</v>
      </c>
      <c r="M75" s="1"/>
      <c r="N75" s="1"/>
    </row>
    <row r="76" spans="1:14" ht="13.5" thickBot="1" x14ac:dyDescent="0.25">
      <c r="A76" s="64"/>
      <c r="B76" s="64"/>
      <c r="C76" s="106"/>
      <c r="D76" s="32" t="s">
        <v>148</v>
      </c>
      <c r="E76" s="19"/>
      <c r="F76" s="19">
        <v>0</v>
      </c>
      <c r="G76" s="67"/>
      <c r="H76" s="10"/>
      <c r="I76" s="40"/>
      <c r="K76" s="100">
        <f t="shared" si="12"/>
        <v>0</v>
      </c>
      <c r="M76" s="1"/>
      <c r="N76" s="1"/>
    </row>
    <row r="77" spans="1:14" ht="13.5" thickBot="1" x14ac:dyDescent="0.25">
      <c r="A77" s="184" t="str">
        <f>IF(C77&gt;0,"Yes","No")</f>
        <v>No</v>
      </c>
      <c r="B77" s="185" t="s">
        <v>129</v>
      </c>
      <c r="C77" s="107">
        <v>0</v>
      </c>
      <c r="D77" s="36" t="s">
        <v>151</v>
      </c>
      <c r="E77" s="172" t="s">
        <v>200</v>
      </c>
      <c r="F77" s="28">
        <v>0</v>
      </c>
      <c r="G77" s="27"/>
      <c r="H77" s="27"/>
      <c r="I77" s="57">
        <v>0</v>
      </c>
      <c r="K77" s="100">
        <f t="shared" si="12"/>
        <v>0</v>
      </c>
      <c r="M77" s="1"/>
      <c r="N77" s="1"/>
    </row>
    <row r="78" spans="1:14" s="10" customFormat="1" ht="13.5" thickBot="1" x14ac:dyDescent="0.25">
      <c r="A78" s="64"/>
      <c r="B78" s="66" t="s">
        <v>130</v>
      </c>
      <c r="C78" s="107">
        <v>0</v>
      </c>
      <c r="D78" s="36"/>
      <c r="E78" s="19"/>
      <c r="F78" s="28"/>
      <c r="G78" s="27"/>
      <c r="H78" s="27"/>
      <c r="I78" s="57"/>
      <c r="K78" s="27"/>
    </row>
    <row r="79" spans="1:14" s="27" customFormat="1" ht="13.5" thickBot="1" x14ac:dyDescent="0.25">
      <c r="A79" s="174" t="s">
        <v>122</v>
      </c>
      <c r="B79" s="174" t="s">
        <v>147</v>
      </c>
      <c r="C79" s="196" t="s">
        <v>174</v>
      </c>
      <c r="D79" s="63" t="s">
        <v>184</v>
      </c>
      <c r="E79" s="19"/>
      <c r="F79" s="54">
        <f>SUM(F67:F78)</f>
        <v>10616.452555125001</v>
      </c>
      <c r="G79" s="19">
        <f>IFERROR(SUM(F79/B11),0)</f>
        <v>5.5876066079605264</v>
      </c>
      <c r="H79" s="10" t="s">
        <v>37</v>
      </c>
      <c r="I79" s="40"/>
    </row>
    <row r="80" spans="1:14" s="27" customFormat="1" x14ac:dyDescent="0.2">
      <c r="A80" s="103">
        <f>IF(AND(('Take off'!D11/100)*'Take off'!D8&lt;=25,('Take off'!D11/100)*'Take off'!D8&gt;0),1,0)</f>
        <v>0</v>
      </c>
      <c r="B80" s="104" t="s">
        <v>177</v>
      </c>
      <c r="C80" s="106">
        <f>IF($C$79="Central MA",575,625)</f>
        <v>625</v>
      </c>
      <c r="D80" s="32"/>
      <c r="E80" s="19"/>
      <c r="F80" s="54"/>
      <c r="G80" s="19"/>
      <c r="H80" s="10"/>
      <c r="I80" s="40"/>
    </row>
    <row r="81" spans="1:14" s="27" customFormat="1" x14ac:dyDescent="0.2">
      <c r="A81" s="197">
        <v>2</v>
      </c>
      <c r="B81" s="64" t="s">
        <v>175</v>
      </c>
      <c r="C81" s="106">
        <f>IF($C$79="Central MA",650,850)</f>
        <v>850</v>
      </c>
      <c r="D81" s="32"/>
      <c r="E81" s="19"/>
      <c r="F81" s="54"/>
      <c r="G81" s="19"/>
      <c r="H81" s="10"/>
      <c r="I81" s="40"/>
    </row>
    <row r="82" spans="1:14" s="27" customFormat="1" x14ac:dyDescent="0.2">
      <c r="A82" s="197">
        <v>0</v>
      </c>
      <c r="B82" s="64" t="s">
        <v>176</v>
      </c>
      <c r="C82" s="106">
        <f>IF($C$79="Central MA",750,950)</f>
        <v>950</v>
      </c>
      <c r="D82" s="32"/>
      <c r="E82" s="19"/>
      <c r="F82" s="54"/>
      <c r="G82" s="19"/>
      <c r="H82" s="10"/>
      <c r="I82" s="40"/>
      <c r="K82" s="15"/>
    </row>
    <row r="83" spans="1:14" s="27" customFormat="1" ht="13.5" thickBot="1" x14ac:dyDescent="0.25">
      <c r="A83" s="102">
        <v>0</v>
      </c>
      <c r="B83" s="66" t="s">
        <v>178</v>
      </c>
      <c r="C83" s="106">
        <f>IF($C$79="Central MA",130,130)</f>
        <v>130</v>
      </c>
      <c r="D83" s="235" t="s">
        <v>5</v>
      </c>
      <c r="E83" s="235"/>
      <c r="F83" s="68">
        <f>SUM(F79)*1.4</f>
        <v>14863.033577175</v>
      </c>
      <c r="G83" s="141">
        <f>IFERROR(SUM(F83/B11),0)</f>
        <v>7.8226492511447363</v>
      </c>
      <c r="H83" s="70" t="s">
        <v>37</v>
      </c>
      <c r="I83" s="69" t="s">
        <v>145</v>
      </c>
      <c r="K83" s="10"/>
    </row>
    <row r="84" spans="1:14" s="15" customFormat="1" ht="13.5" thickBot="1" x14ac:dyDescent="0.25">
      <c r="A84" s="173" t="s">
        <v>161</v>
      </c>
      <c r="B84" s="173" t="s">
        <v>162</v>
      </c>
      <c r="C84" s="1"/>
      <c r="D84" s="236"/>
      <c r="E84" s="236"/>
      <c r="F84" s="137"/>
      <c r="G84" s="138"/>
      <c r="H84" s="139"/>
      <c r="I84" s="140"/>
      <c r="K84"/>
    </row>
    <row r="85" spans="1:14" s="10" customFormat="1" ht="13.5" thickBot="1" x14ac:dyDescent="0.25">
      <c r="A85" s="180" t="s">
        <v>188</v>
      </c>
      <c r="B85" s="66" t="s">
        <v>163</v>
      </c>
      <c r="C85" s="179"/>
      <c r="D85" s="237" t="s">
        <v>42</v>
      </c>
      <c r="E85" s="237"/>
      <c r="F85" s="175">
        <f>SUM(F79)*1.37</f>
        <v>14544.540000521252</v>
      </c>
      <c r="G85" s="176">
        <f>IFERROR(SUM(F85/B11),0)</f>
        <v>7.6550210529059219</v>
      </c>
      <c r="H85" s="177" t="s">
        <v>37</v>
      </c>
      <c r="I85" s="178" t="s">
        <v>146</v>
      </c>
      <c r="K85"/>
    </row>
    <row r="86" spans="1:14" x14ac:dyDescent="0.2">
      <c r="B86" s="14"/>
      <c r="C86" s="1"/>
      <c r="D86" s="14"/>
      <c r="E86" s="5"/>
      <c r="F86" s="6"/>
      <c r="G86" s="5"/>
      <c r="H86" s="10"/>
      <c r="M86" s="1"/>
      <c r="N86" s="1"/>
    </row>
    <row r="87" spans="1:14" hidden="1" outlineLevel="1" x14ac:dyDescent="0.2">
      <c r="B87" s="14"/>
      <c r="C87" s="1"/>
      <c r="D87" s="14"/>
      <c r="E87" s="5"/>
      <c r="F87" s="6"/>
      <c r="G87" s="5"/>
      <c r="H87" s="10"/>
      <c r="M87" s="1"/>
      <c r="N87" s="1"/>
    </row>
    <row r="88" spans="1:14" hidden="1" outlineLevel="1" x14ac:dyDescent="0.2">
      <c r="B88" s="14" t="s">
        <v>61</v>
      </c>
      <c r="C88" s="1">
        <v>3.25</v>
      </c>
      <c r="D88" s="45" t="s">
        <v>62</v>
      </c>
      <c r="E88" s="5"/>
      <c r="F88" s="6">
        <f>IF(F83=0,0,F83*(C88/100)+4.32)</f>
        <v>487.36859125818751</v>
      </c>
      <c r="G88" s="5"/>
      <c r="H88" s="10"/>
      <c r="M88" s="1"/>
      <c r="N88" s="1"/>
    </row>
    <row r="89" spans="1:14" hidden="1" outlineLevel="1" x14ac:dyDescent="0.2">
      <c r="C89" s="143"/>
      <c r="D89" s="144" t="s">
        <v>60</v>
      </c>
      <c r="E89" s="145"/>
      <c r="F89" s="146">
        <f>F83+F88</f>
        <v>15350.402168433187</v>
      </c>
      <c r="G89" s="5"/>
      <c r="H89" s="10"/>
      <c r="M89" s="1"/>
      <c r="N89" s="1"/>
    </row>
    <row r="90" spans="1:14" hidden="1" outlineLevel="1" x14ac:dyDescent="0.2">
      <c r="A90" s="34" t="s">
        <v>128</v>
      </c>
      <c r="B90" s="34"/>
      <c r="C90" s="1"/>
      <c r="E90" s="5"/>
      <c r="F90" s="5"/>
      <c r="M90" s="1"/>
      <c r="N90" s="1"/>
    </row>
    <row r="91" spans="1:14" hidden="1" outlineLevel="1" x14ac:dyDescent="0.2">
      <c r="C91" s="232" t="s">
        <v>45</v>
      </c>
      <c r="D91" s="58" t="s">
        <v>44</v>
      </c>
      <c r="E91" s="59"/>
      <c r="F91" s="59">
        <f>((F79*1.45)-(F75+F68))*0.0635</f>
        <v>868.004296233697</v>
      </c>
      <c r="G91" s="8"/>
      <c r="M91" s="1"/>
      <c r="N91" s="1"/>
    </row>
    <row r="92" spans="1:14" hidden="1" outlineLevel="1" x14ac:dyDescent="0.2">
      <c r="C92" s="233"/>
      <c r="D92" s="14"/>
      <c r="E92" s="5"/>
      <c r="F92" s="5"/>
      <c r="G92" s="9"/>
      <c r="M92" s="1"/>
      <c r="N92" s="1"/>
    </row>
    <row r="93" spans="1:14" ht="13.5" hidden="1" outlineLevel="1" thickBot="1" x14ac:dyDescent="0.25">
      <c r="C93" s="234"/>
      <c r="D93" s="60" t="s">
        <v>43</v>
      </c>
      <c r="E93" s="61"/>
      <c r="F93" s="61">
        <f>F85+F91</f>
        <v>15412.54429675495</v>
      </c>
      <c r="G93" s="62">
        <f>IFERROR(F93/B11,0)</f>
        <v>8.1118654193447099</v>
      </c>
      <c r="H93" s="10" t="s">
        <v>37</v>
      </c>
      <c r="M93" s="1"/>
      <c r="N93" s="1"/>
    </row>
    <row r="94" spans="1:14" collapsed="1" x14ac:dyDescent="0.2">
      <c r="C94" s="98" t="s">
        <v>105</v>
      </c>
      <c r="D94" s="14"/>
      <c r="E94" s="5"/>
      <c r="F94" s="5"/>
      <c r="I94" s="10"/>
      <c r="M94" s="1"/>
      <c r="N94" s="1"/>
    </row>
    <row r="95" spans="1:14" x14ac:dyDescent="0.2">
      <c r="C95" s="1"/>
      <c r="E95" s="5"/>
      <c r="F95" s="5"/>
      <c r="M95" s="1"/>
      <c r="N95" s="1"/>
    </row>
    <row r="96" spans="1:14" x14ac:dyDescent="0.2">
      <c r="B96" s="63"/>
      <c r="C96" s="122"/>
      <c r="D96" s="120"/>
      <c r="E96" s="121"/>
      <c r="F96" s="121"/>
      <c r="M96" s="1"/>
      <c r="N96" s="1"/>
    </row>
    <row r="97" spans="2:14" x14ac:dyDescent="0.2">
      <c r="B97" s="123"/>
      <c r="C97" s="124"/>
      <c r="D97" s="123"/>
      <c r="E97" s="125"/>
      <c r="F97" s="125"/>
      <c r="M97" s="1"/>
      <c r="N97" s="1"/>
    </row>
    <row r="98" spans="2:14" x14ac:dyDescent="0.2">
      <c r="B98" s="126"/>
      <c r="C98" s="127"/>
      <c r="D98" s="126"/>
      <c r="E98" s="128"/>
      <c r="F98" s="128"/>
      <c r="M98" s="1"/>
      <c r="N98" s="1"/>
    </row>
    <row r="99" spans="2:14" x14ac:dyDescent="0.2">
      <c r="B99" s="120"/>
      <c r="C99" s="122"/>
      <c r="D99" s="120"/>
      <c r="E99" s="121"/>
      <c r="F99" s="121"/>
      <c r="M99" s="1"/>
      <c r="N99" s="1"/>
    </row>
    <row r="100" spans="2:14" x14ac:dyDescent="0.2">
      <c r="B100" s="120"/>
      <c r="C100" s="122"/>
      <c r="D100" s="120"/>
      <c r="E100" s="121"/>
      <c r="F100" s="121"/>
      <c r="M100" s="1"/>
      <c r="N100" s="1"/>
    </row>
    <row r="101" spans="2:14" x14ac:dyDescent="0.2">
      <c r="B101" s="120"/>
      <c r="C101" s="122"/>
      <c r="D101" s="120"/>
      <c r="E101" s="121"/>
      <c r="F101" s="121"/>
      <c r="M101" s="1"/>
      <c r="N101" s="1"/>
    </row>
    <row r="102" spans="2:14" x14ac:dyDescent="0.2">
      <c r="B102" s="120"/>
      <c r="C102" s="122"/>
      <c r="D102" s="120"/>
      <c r="E102" s="121"/>
      <c r="F102" s="121"/>
      <c r="M102" s="1"/>
      <c r="N102" s="1"/>
    </row>
    <row r="103" spans="2:14" x14ac:dyDescent="0.2">
      <c r="B103" s="120"/>
      <c r="C103" s="122"/>
      <c r="D103" s="120"/>
      <c r="E103" s="121"/>
      <c r="F103" s="121"/>
      <c r="M103" s="1"/>
      <c r="N103" s="1"/>
    </row>
    <row r="104" spans="2:14" x14ac:dyDescent="0.2">
      <c r="B104" s="120"/>
      <c r="C104" s="122"/>
      <c r="D104" s="120"/>
      <c r="E104" s="121"/>
      <c r="F104" s="121"/>
      <c r="M104" s="1"/>
      <c r="N104" s="1"/>
    </row>
    <row r="105" spans="2:14" x14ac:dyDescent="0.2">
      <c r="B105" s="120"/>
      <c r="C105" s="122"/>
      <c r="D105" s="120"/>
      <c r="E105" s="121"/>
      <c r="F105" s="121"/>
      <c r="M105" s="1"/>
      <c r="N105" s="1"/>
    </row>
    <row r="106" spans="2:14" x14ac:dyDescent="0.2">
      <c r="B106" s="120"/>
      <c r="C106" s="122"/>
      <c r="D106" s="120"/>
      <c r="E106" s="121"/>
      <c r="F106" s="121"/>
      <c r="M106" s="1"/>
      <c r="N106" s="1"/>
    </row>
    <row r="107" spans="2:14" x14ac:dyDescent="0.2">
      <c r="B107" s="120"/>
      <c r="C107" s="122"/>
      <c r="D107" s="120"/>
      <c r="E107" s="121"/>
      <c r="F107" s="121"/>
      <c r="M107" s="1"/>
      <c r="N107" s="1"/>
    </row>
    <row r="108" spans="2:14" x14ac:dyDescent="0.2">
      <c r="B108" s="120"/>
      <c r="C108" s="122"/>
      <c r="D108" s="120"/>
      <c r="E108" s="121"/>
      <c r="F108" s="121"/>
      <c r="M108" s="1"/>
      <c r="N108" s="1"/>
    </row>
    <row r="109" spans="2:14" x14ac:dyDescent="0.2">
      <c r="B109" s="120"/>
      <c r="C109" s="122"/>
      <c r="D109" s="120"/>
      <c r="E109" s="129"/>
      <c r="F109" s="56"/>
      <c r="M109" s="1"/>
      <c r="N109" s="1"/>
    </row>
    <row r="110" spans="2:14" x14ac:dyDescent="0.2">
      <c r="B110" s="120"/>
      <c r="C110" s="122"/>
      <c r="D110" s="120"/>
      <c r="E110" s="129"/>
      <c r="F110" s="56"/>
      <c r="M110" s="1"/>
      <c r="N110" s="1"/>
    </row>
    <row r="111" spans="2:14" x14ac:dyDescent="0.2">
      <c r="B111" s="120"/>
      <c r="C111" s="122"/>
      <c r="D111" s="120"/>
      <c r="E111" s="56"/>
      <c r="F111" s="56"/>
      <c r="M111" s="1"/>
      <c r="N111" s="1"/>
    </row>
    <row r="112" spans="2:14" x14ac:dyDescent="0.2">
      <c r="B112" s="120"/>
      <c r="C112" s="122"/>
      <c r="D112" s="120"/>
      <c r="E112" s="56"/>
      <c r="F112" s="56"/>
      <c r="M112" s="1"/>
      <c r="N112" s="1"/>
    </row>
    <row r="113" spans="1:14" x14ac:dyDescent="0.2">
      <c r="C113" s="1"/>
      <c r="E113" s="5"/>
      <c r="F113" s="5"/>
      <c r="M113" s="1"/>
      <c r="N113" s="1"/>
    </row>
    <row r="114" spans="1:14" x14ac:dyDescent="0.2">
      <c r="C114" s="1"/>
      <c r="E114" s="5"/>
      <c r="F114" s="5"/>
      <c r="M114" s="1"/>
      <c r="N114" s="1"/>
    </row>
    <row r="115" spans="1:14" x14ac:dyDescent="0.2">
      <c r="B115" s="34"/>
      <c r="C115" s="130"/>
      <c r="D115" s="32"/>
      <c r="E115" s="131"/>
      <c r="F115" s="131"/>
      <c r="G115" s="32"/>
      <c r="H115" s="32"/>
      <c r="I115" s="32"/>
      <c r="M115" s="1"/>
      <c r="N115" s="1"/>
    </row>
    <row r="116" spans="1:14" x14ac:dyDescent="0.2">
      <c r="A116" s="46"/>
      <c r="B116" s="32"/>
      <c r="C116" s="10"/>
      <c r="D116" s="10"/>
      <c r="E116" s="19"/>
      <c r="F116" s="19"/>
      <c r="G116" s="19"/>
      <c r="H116" s="19"/>
      <c r="I116" s="19"/>
      <c r="M116" s="1"/>
      <c r="N116" s="1"/>
    </row>
    <row r="117" spans="1:14" x14ac:dyDescent="0.2">
      <c r="A117" s="46"/>
      <c r="B117" s="32"/>
      <c r="C117" s="11"/>
      <c r="D117" s="10"/>
      <c r="E117" s="19"/>
      <c r="F117" s="19"/>
      <c r="G117" s="19"/>
      <c r="H117" s="19"/>
      <c r="I117" s="19"/>
      <c r="K117" s="46"/>
      <c r="M117" s="1"/>
      <c r="N117" s="1"/>
    </row>
    <row r="118" spans="1:14" x14ac:dyDescent="0.2">
      <c r="A118" s="27"/>
      <c r="B118" s="32"/>
      <c r="C118" s="11"/>
      <c r="D118" s="10"/>
      <c r="E118" s="19"/>
      <c r="F118" s="19"/>
      <c r="G118" s="19"/>
      <c r="H118" s="19"/>
      <c r="I118" s="19"/>
      <c r="K118" s="46"/>
      <c r="M118" s="1"/>
      <c r="N118" s="1"/>
    </row>
    <row r="119" spans="1:14" s="46" customFormat="1" x14ac:dyDescent="0.2">
      <c r="A119" s="44"/>
      <c r="B119" s="32"/>
      <c r="C119" s="10"/>
      <c r="D119" s="10"/>
      <c r="E119" s="19"/>
      <c r="F119" s="19"/>
      <c r="G119" s="10"/>
      <c r="H119" s="19"/>
      <c r="I119" s="19"/>
      <c r="K119" s="27"/>
    </row>
    <row r="120" spans="1:14" s="46" customFormat="1" x14ac:dyDescent="0.2">
      <c r="A120"/>
      <c r="B120" s="10"/>
      <c r="C120" s="11"/>
      <c r="D120" s="10"/>
      <c r="E120" s="19"/>
      <c r="F120" s="19"/>
      <c r="G120" s="19"/>
      <c r="H120" s="19"/>
      <c r="I120" s="132"/>
      <c r="K120" s="44"/>
      <c r="M120" s="47"/>
      <c r="N120" s="47"/>
    </row>
    <row r="121" spans="1:14" s="27" customFormat="1" x14ac:dyDescent="0.2">
      <c r="A121"/>
      <c r="B121" s="10"/>
      <c r="C121" s="11"/>
      <c r="D121" s="10"/>
      <c r="E121" s="19"/>
      <c r="F121" s="19"/>
      <c r="G121" s="19"/>
      <c r="H121" s="19"/>
      <c r="I121" s="132"/>
      <c r="K121" s="2"/>
      <c r="M121" s="43"/>
      <c r="N121" s="43"/>
    </row>
    <row r="122" spans="1:14" s="44" customFormat="1" x14ac:dyDescent="0.2">
      <c r="A122"/>
      <c r="B122" s="10"/>
      <c r="C122" s="11"/>
      <c r="D122" s="10"/>
      <c r="E122" s="19"/>
      <c r="F122" s="19"/>
      <c r="G122" s="19"/>
      <c r="H122" s="19"/>
      <c r="I122" s="132"/>
      <c r="K122" s="2"/>
    </row>
    <row r="123" spans="1:14" x14ac:dyDescent="0.2">
      <c r="B123" s="133"/>
      <c r="C123" s="134"/>
      <c r="D123" s="32"/>
      <c r="E123" s="131"/>
      <c r="F123" s="131"/>
      <c r="G123" s="32"/>
      <c r="H123" s="32"/>
      <c r="I123" s="32"/>
      <c r="J123" s="5"/>
      <c r="K123" s="2"/>
      <c r="M123" s="1"/>
      <c r="N123" s="1"/>
    </row>
    <row r="124" spans="1:14" x14ac:dyDescent="0.2">
      <c r="B124" s="32"/>
      <c r="C124" s="135"/>
      <c r="D124" s="10"/>
      <c r="E124" s="19"/>
      <c r="F124" s="19"/>
      <c r="G124" s="19"/>
      <c r="H124" s="19"/>
      <c r="I124" s="19"/>
      <c r="J124" s="5"/>
      <c r="K124" s="2"/>
      <c r="M124" s="1"/>
      <c r="N124" s="1"/>
    </row>
    <row r="125" spans="1:14" x14ac:dyDescent="0.2">
      <c r="B125" s="32"/>
      <c r="C125" s="10"/>
      <c r="D125" s="10"/>
      <c r="E125" s="19"/>
      <c r="F125" s="136"/>
      <c r="G125" s="19"/>
      <c r="H125" s="19"/>
      <c r="I125" s="19"/>
      <c r="J125" s="5"/>
      <c r="M125" s="1"/>
      <c r="N125" s="1"/>
    </row>
    <row r="126" spans="1:14" x14ac:dyDescent="0.2">
      <c r="B126" s="32"/>
      <c r="C126" s="10"/>
      <c r="D126" s="10"/>
      <c r="E126" s="19"/>
      <c r="F126" s="19"/>
      <c r="G126" s="19"/>
      <c r="H126" s="19"/>
      <c r="I126" s="132"/>
      <c r="M126" s="1"/>
      <c r="N126" s="1"/>
    </row>
    <row r="127" spans="1:14" x14ac:dyDescent="0.2">
      <c r="B127" s="32"/>
      <c r="C127" s="10"/>
      <c r="D127" s="10"/>
      <c r="E127" s="19"/>
      <c r="F127" s="19"/>
      <c r="G127" s="19"/>
      <c r="H127" s="19"/>
      <c r="I127" s="19"/>
      <c r="M127" s="1"/>
      <c r="N127" s="1"/>
    </row>
    <row r="128" spans="1:14" x14ac:dyDescent="0.2">
      <c r="B128" s="25"/>
      <c r="C128" s="15"/>
      <c r="D128" s="15"/>
      <c r="E128" s="16"/>
      <c r="F128" s="16"/>
      <c r="G128" s="16"/>
      <c r="H128" s="16"/>
      <c r="I128" s="16"/>
    </row>
    <row r="129" spans="1:14" x14ac:dyDescent="0.2">
      <c r="C129" s="10"/>
      <c r="E129" s="5"/>
      <c r="F129" s="5"/>
    </row>
    <row r="130" spans="1:14" x14ac:dyDescent="0.2">
      <c r="E130" s="19"/>
      <c r="F130" s="5"/>
    </row>
    <row r="131" spans="1:14" x14ac:dyDescent="0.2">
      <c r="C131" s="10"/>
      <c r="E131" s="5"/>
      <c r="F131" s="5"/>
    </row>
    <row r="132" spans="1:14" x14ac:dyDescent="0.2">
      <c r="B132" s="15"/>
      <c r="C132" s="10"/>
      <c r="E132" s="5"/>
      <c r="F132" s="5"/>
      <c r="M132" s="1"/>
      <c r="N132" s="1"/>
    </row>
    <row r="133" spans="1:14" x14ac:dyDescent="0.2">
      <c r="B133" s="15"/>
      <c r="C133" s="15"/>
      <c r="D133" s="15"/>
      <c r="E133" s="16"/>
      <c r="F133" s="16"/>
      <c r="G133" s="15"/>
      <c r="H133" s="15"/>
      <c r="I133" s="15"/>
      <c r="M133" s="1"/>
      <c r="N133" s="1"/>
    </row>
    <row r="134" spans="1:14" x14ac:dyDescent="0.2">
      <c r="B134" s="15"/>
      <c r="C134" s="15"/>
      <c r="D134" s="15"/>
      <c r="E134" s="16"/>
      <c r="F134" s="16"/>
      <c r="G134" s="15"/>
      <c r="H134" s="15"/>
      <c r="I134" s="15"/>
      <c r="M134" s="1"/>
      <c r="N134" s="1"/>
    </row>
    <row r="135" spans="1:14" x14ac:dyDescent="0.2">
      <c r="B135" s="15"/>
      <c r="C135" s="15"/>
      <c r="D135" s="15"/>
      <c r="E135" s="16"/>
      <c r="F135" s="16"/>
      <c r="G135" s="15"/>
      <c r="H135" s="15"/>
      <c r="I135" s="15"/>
      <c r="M135" s="1"/>
      <c r="N135" s="1"/>
    </row>
    <row r="136" spans="1:14" x14ac:dyDescent="0.2">
      <c r="B136" s="15"/>
      <c r="C136" s="15"/>
      <c r="D136" s="15"/>
      <c r="E136" s="16"/>
      <c r="F136" s="16"/>
      <c r="N136" s="1"/>
    </row>
    <row r="137" spans="1:14" x14ac:dyDescent="0.2">
      <c r="B137" s="15"/>
      <c r="C137" s="15"/>
      <c r="D137" s="15"/>
      <c r="E137" s="16"/>
      <c r="F137" s="16"/>
      <c r="G137" s="15"/>
      <c r="H137" s="15"/>
      <c r="I137" s="15"/>
      <c r="K137" s="1"/>
      <c r="M137" s="1"/>
      <c r="N137" s="1"/>
    </row>
    <row r="138" spans="1:14" x14ac:dyDescent="0.2">
      <c r="C138" s="20"/>
      <c r="D138" s="15"/>
      <c r="E138" s="16"/>
      <c r="F138" s="16"/>
      <c r="G138" s="16"/>
      <c r="H138" s="16"/>
      <c r="I138" s="16"/>
      <c r="K138" s="1"/>
      <c r="N138" s="3"/>
    </row>
    <row r="139" spans="1:14" x14ac:dyDescent="0.2">
      <c r="B139" s="15"/>
      <c r="C139" s="11"/>
      <c r="E139" s="19"/>
      <c r="F139" s="5"/>
      <c r="G139" s="5"/>
      <c r="H139" s="5"/>
      <c r="I139" s="5"/>
      <c r="K139" s="1"/>
      <c r="N139" s="1"/>
    </row>
    <row r="140" spans="1:14" x14ac:dyDescent="0.2">
      <c r="C140" s="20"/>
      <c r="D140" s="15"/>
      <c r="E140" s="16"/>
      <c r="F140" s="16"/>
      <c r="G140" s="16"/>
      <c r="H140" s="16"/>
      <c r="I140" s="16"/>
      <c r="K140" s="1"/>
      <c r="N140" s="1"/>
    </row>
    <row r="141" spans="1:14" x14ac:dyDescent="0.2">
      <c r="B141" s="15"/>
      <c r="C141" s="10"/>
      <c r="E141" s="5"/>
      <c r="F141" s="5"/>
      <c r="K141" s="1"/>
      <c r="N141" s="4"/>
    </row>
    <row r="142" spans="1:14" x14ac:dyDescent="0.2">
      <c r="B142" s="15"/>
      <c r="C142" s="15"/>
      <c r="D142" s="15"/>
      <c r="E142" s="16"/>
      <c r="F142" s="16"/>
      <c r="G142" s="15"/>
      <c r="H142" s="15"/>
      <c r="I142" s="15"/>
      <c r="N142" s="4"/>
    </row>
    <row r="143" spans="1:14" x14ac:dyDescent="0.2">
      <c r="B143" s="15"/>
      <c r="C143" s="15"/>
      <c r="D143" s="15"/>
      <c r="E143" s="16"/>
      <c r="F143" s="16"/>
      <c r="G143" s="15"/>
      <c r="H143" s="15"/>
      <c r="I143" s="15"/>
      <c r="N143" s="4"/>
    </row>
    <row r="144" spans="1:14" x14ac:dyDescent="0.2">
      <c r="A144" s="10"/>
      <c r="C144" s="15"/>
      <c r="D144" s="15"/>
      <c r="E144" s="16"/>
      <c r="F144" s="16"/>
      <c r="G144" s="15"/>
      <c r="H144" s="15"/>
      <c r="I144" s="15"/>
    </row>
    <row r="145" spans="1:14" x14ac:dyDescent="0.2">
      <c r="A145" s="10"/>
      <c r="B145" s="15"/>
      <c r="C145" s="11"/>
      <c r="E145" s="5"/>
      <c r="F145" s="5"/>
      <c r="K145" s="10"/>
    </row>
    <row r="146" spans="1:14" x14ac:dyDescent="0.2">
      <c r="B146" s="15"/>
      <c r="C146" s="15"/>
      <c r="D146" s="15"/>
      <c r="E146" s="16"/>
      <c r="F146" s="16"/>
      <c r="G146" s="15"/>
      <c r="H146" s="15"/>
      <c r="I146" s="15"/>
      <c r="K146" s="10"/>
    </row>
    <row r="147" spans="1:14" s="10" customFormat="1" x14ac:dyDescent="0.2">
      <c r="A147"/>
      <c r="B147" s="15"/>
      <c r="C147" s="15"/>
      <c r="D147" s="15"/>
      <c r="E147" s="16"/>
      <c r="F147" s="16"/>
      <c r="G147" s="15"/>
      <c r="H147" s="15"/>
      <c r="I147" s="15"/>
      <c r="K147"/>
    </row>
    <row r="148" spans="1:14" s="10" customFormat="1" x14ac:dyDescent="0.2">
      <c r="A148"/>
      <c r="C148" s="20"/>
      <c r="D148" s="15"/>
      <c r="E148" s="16"/>
      <c r="F148" s="16"/>
      <c r="G148" s="15"/>
      <c r="H148" s="15"/>
      <c r="I148" s="15"/>
      <c r="K148"/>
    </row>
    <row r="149" spans="1:14" x14ac:dyDescent="0.2">
      <c r="B149" s="15"/>
      <c r="C149" s="10"/>
      <c r="D149" s="10"/>
      <c r="E149" s="19"/>
      <c r="F149" s="19"/>
      <c r="G149" s="19"/>
      <c r="H149" s="19"/>
      <c r="I149" s="19"/>
      <c r="M149" s="1"/>
      <c r="N149" s="1"/>
    </row>
    <row r="150" spans="1:14" x14ac:dyDescent="0.2">
      <c r="B150" s="15"/>
      <c r="C150" s="15"/>
      <c r="D150" s="15"/>
      <c r="E150" s="16"/>
      <c r="F150" s="16"/>
      <c r="G150" s="16"/>
      <c r="H150" s="16"/>
      <c r="I150" s="16"/>
    </row>
    <row r="151" spans="1:14" x14ac:dyDescent="0.2">
      <c r="B151" s="10"/>
      <c r="C151" s="15"/>
      <c r="D151" s="15"/>
      <c r="E151" s="16"/>
      <c r="F151" s="16"/>
      <c r="G151" s="15"/>
      <c r="H151" s="16"/>
      <c r="I151" s="16"/>
    </row>
    <row r="152" spans="1:14" x14ac:dyDescent="0.2">
      <c r="B152" s="15"/>
      <c r="C152" s="10"/>
      <c r="D152" s="10"/>
      <c r="E152" s="19"/>
      <c r="F152" s="19"/>
      <c r="G152" s="19"/>
      <c r="H152" s="19"/>
      <c r="I152" s="19"/>
    </row>
    <row r="153" spans="1:14" x14ac:dyDescent="0.2">
      <c r="B153" s="15"/>
      <c r="C153" s="15"/>
      <c r="D153" s="15"/>
      <c r="E153" s="16"/>
      <c r="F153" s="16"/>
      <c r="G153" s="15"/>
      <c r="H153" s="15"/>
      <c r="I153" s="15"/>
    </row>
    <row r="154" spans="1:14" x14ac:dyDescent="0.2">
      <c r="B154" s="15"/>
      <c r="C154" s="15"/>
      <c r="D154" s="15"/>
      <c r="E154" s="16"/>
      <c r="F154" s="16"/>
      <c r="G154" s="15"/>
      <c r="H154" s="15"/>
      <c r="I154" s="15"/>
    </row>
    <row r="155" spans="1:14" x14ac:dyDescent="0.2">
      <c r="B155" s="15"/>
      <c r="C155" s="15"/>
      <c r="D155" s="15"/>
      <c r="E155" s="16"/>
      <c r="F155" s="16"/>
      <c r="G155" s="15"/>
      <c r="H155" s="15"/>
      <c r="I155" s="15"/>
    </row>
    <row r="156" spans="1:14" x14ac:dyDescent="0.2">
      <c r="B156" s="15"/>
      <c r="C156" s="15"/>
      <c r="D156" s="15"/>
      <c r="E156" s="16"/>
      <c r="F156" s="16"/>
      <c r="G156" s="15"/>
      <c r="H156" s="15"/>
      <c r="I156" s="15"/>
    </row>
    <row r="157" spans="1:14" x14ac:dyDescent="0.2">
      <c r="B157" s="15"/>
      <c r="C157" s="15"/>
      <c r="D157" s="15"/>
      <c r="E157" s="16"/>
      <c r="F157" s="16"/>
      <c r="G157" s="15"/>
      <c r="H157" s="15"/>
      <c r="I157" s="15"/>
    </row>
    <row r="158" spans="1:14" x14ac:dyDescent="0.2">
      <c r="B158" s="15"/>
      <c r="C158" s="15"/>
      <c r="D158" s="15"/>
      <c r="E158" s="16"/>
      <c r="F158" s="16"/>
      <c r="G158" s="15"/>
      <c r="H158" s="15"/>
      <c r="I158" s="15"/>
      <c r="M158" s="1"/>
      <c r="N158" s="1"/>
    </row>
    <row r="159" spans="1:14" x14ac:dyDescent="0.2">
      <c r="C159" s="15"/>
      <c r="D159" s="15"/>
      <c r="E159" s="16"/>
      <c r="F159" s="16"/>
      <c r="G159" s="15"/>
      <c r="H159" s="15"/>
      <c r="I159" s="15"/>
    </row>
    <row r="160" spans="1:14" x14ac:dyDescent="0.2">
      <c r="E160" s="5"/>
      <c r="F160" s="35"/>
    </row>
    <row r="161" spans="2:9" x14ac:dyDescent="0.2">
      <c r="E161" s="5"/>
      <c r="F161" s="30"/>
    </row>
    <row r="162" spans="2:9" x14ac:dyDescent="0.2">
      <c r="C162" s="25"/>
      <c r="D162" s="15"/>
      <c r="E162" s="16"/>
      <c r="F162" s="26"/>
    </row>
    <row r="163" spans="2:9" x14ac:dyDescent="0.2">
      <c r="C163" s="23"/>
      <c r="E163" s="5"/>
      <c r="F163" s="5"/>
      <c r="I163" s="14"/>
    </row>
    <row r="164" spans="2:9" x14ac:dyDescent="0.2">
      <c r="C164" s="23"/>
      <c r="E164" s="5"/>
      <c r="F164" s="5"/>
    </row>
    <row r="165" spans="2:9" x14ac:dyDescent="0.2">
      <c r="C165" s="24"/>
      <c r="D165" s="14"/>
      <c r="E165" s="5"/>
      <c r="F165" s="5"/>
    </row>
    <row r="166" spans="2:9" x14ac:dyDescent="0.2">
      <c r="B166" s="10"/>
      <c r="C166" s="24"/>
      <c r="D166" s="14"/>
      <c r="E166" s="5"/>
      <c r="F166" s="5"/>
    </row>
    <row r="167" spans="2:9" x14ac:dyDescent="0.2">
      <c r="B167" s="10"/>
      <c r="D167" s="14"/>
      <c r="E167" s="19"/>
      <c r="F167" s="5"/>
      <c r="G167" s="10"/>
      <c r="H167" s="10"/>
      <c r="I167" s="32"/>
    </row>
    <row r="168" spans="2:9" x14ac:dyDescent="0.2">
      <c r="B168" s="27"/>
      <c r="D168" s="14"/>
      <c r="E168" s="19"/>
      <c r="F168" s="5"/>
      <c r="G168" s="10"/>
      <c r="H168" s="10"/>
      <c r="I168" s="10"/>
    </row>
    <row r="169" spans="2:9" x14ac:dyDescent="0.2">
      <c r="B169" s="10"/>
      <c r="C169" s="27"/>
      <c r="D169" s="36"/>
      <c r="E169" s="28"/>
      <c r="F169" s="28"/>
      <c r="G169" s="27"/>
      <c r="H169" s="27"/>
      <c r="I169" s="27"/>
    </row>
    <row r="170" spans="2:9" x14ac:dyDescent="0.2">
      <c r="D170" s="14"/>
      <c r="E170" s="19"/>
      <c r="F170" s="5"/>
      <c r="G170" s="10"/>
      <c r="H170" s="10"/>
      <c r="I170" s="10"/>
    </row>
    <row r="171" spans="2:9" x14ac:dyDescent="0.2">
      <c r="C171" s="1"/>
      <c r="E171" s="5"/>
      <c r="F171" s="6"/>
      <c r="G171" s="5"/>
      <c r="H171" s="5"/>
      <c r="I171" s="5"/>
    </row>
    <row r="172" spans="2:9" x14ac:dyDescent="0.2">
      <c r="C172" s="1"/>
      <c r="E172" s="5"/>
      <c r="F172" s="6"/>
      <c r="G172" s="5"/>
      <c r="H172" s="5"/>
    </row>
    <row r="173" spans="2:9" x14ac:dyDescent="0.2">
      <c r="C173" s="1"/>
      <c r="E173" s="5"/>
      <c r="F173" s="6"/>
      <c r="G173" s="5"/>
    </row>
    <row r="174" spans="2:9" x14ac:dyDescent="0.2">
      <c r="B174" s="34"/>
      <c r="C174" s="1"/>
      <c r="E174" s="5"/>
      <c r="F174" s="5"/>
    </row>
    <row r="175" spans="2:9" x14ac:dyDescent="0.2">
      <c r="B175" s="10"/>
      <c r="C175" s="1"/>
      <c r="E175" s="5"/>
      <c r="F175" s="5"/>
      <c r="I175" s="37"/>
    </row>
    <row r="176" spans="2:9" x14ac:dyDescent="0.2">
      <c r="B176" s="10"/>
      <c r="C176" s="10"/>
      <c r="D176" s="10"/>
      <c r="E176" s="19"/>
      <c r="F176" s="19"/>
      <c r="G176" s="19"/>
      <c r="H176" s="19"/>
      <c r="I176" s="19"/>
    </row>
    <row r="177" spans="2:14" x14ac:dyDescent="0.2">
      <c r="C177" s="11"/>
      <c r="D177" s="10"/>
      <c r="E177" s="19"/>
      <c r="F177" s="19"/>
      <c r="G177" s="19"/>
      <c r="H177" s="19"/>
      <c r="I177" s="19"/>
    </row>
    <row r="178" spans="2:14" x14ac:dyDescent="0.2">
      <c r="B178" s="14"/>
      <c r="C178" s="11"/>
      <c r="E178" s="5"/>
      <c r="F178" s="5"/>
      <c r="G178" s="5"/>
      <c r="H178" s="5"/>
      <c r="I178" s="5"/>
    </row>
    <row r="179" spans="2:14" ht="12.75" customHeight="1" x14ac:dyDescent="0.2">
      <c r="C179" s="11"/>
      <c r="E179" s="5"/>
      <c r="F179" s="5"/>
      <c r="G179" s="5"/>
      <c r="H179" s="5"/>
      <c r="I179" s="5"/>
    </row>
    <row r="180" spans="2:14" x14ac:dyDescent="0.2">
      <c r="F180" s="5"/>
    </row>
    <row r="181" spans="2:14" x14ac:dyDescent="0.2">
      <c r="F181" s="5"/>
    </row>
    <row r="182" spans="2:14" x14ac:dyDescent="0.2">
      <c r="E182" s="5"/>
      <c r="F182" s="5"/>
    </row>
    <row r="183" spans="2:14" x14ac:dyDescent="0.2">
      <c r="E183" s="5"/>
      <c r="F183" s="1"/>
    </row>
    <row r="184" spans="2:14" x14ac:dyDescent="0.2">
      <c r="B184" s="38"/>
      <c r="C184" s="10"/>
      <c r="E184" s="1"/>
      <c r="F184" s="1"/>
    </row>
    <row r="185" spans="2:14" x14ac:dyDescent="0.2">
      <c r="B185" s="41"/>
      <c r="C185" s="10"/>
      <c r="E185" s="1"/>
      <c r="F185" s="1"/>
    </row>
    <row r="186" spans="2:14" x14ac:dyDescent="0.2">
      <c r="B186" s="41"/>
      <c r="C186" s="41"/>
      <c r="D186" s="41"/>
      <c r="E186" s="41"/>
      <c r="F186" s="41"/>
      <c r="G186" s="41"/>
      <c r="H186" s="41"/>
      <c r="I186" s="41"/>
    </row>
    <row r="187" spans="2:14" x14ac:dyDescent="0.2">
      <c r="B187" s="38"/>
      <c r="C187" s="41"/>
      <c r="D187" s="41"/>
      <c r="E187" s="41"/>
      <c r="F187" s="41"/>
      <c r="G187" s="41"/>
      <c r="H187" s="41"/>
      <c r="I187" s="41"/>
    </row>
    <row r="188" spans="2:14" x14ac:dyDescent="0.2">
      <c r="B188" s="12"/>
      <c r="E188" s="1"/>
      <c r="F188" s="1"/>
    </row>
    <row r="189" spans="2:14" x14ac:dyDescent="0.2">
      <c r="B189" s="12"/>
      <c r="C189" s="12"/>
      <c r="D189" s="12"/>
      <c r="E189" s="12"/>
      <c r="F189" s="12"/>
      <c r="G189" s="12"/>
      <c r="H189" s="12"/>
      <c r="I189" s="12"/>
    </row>
    <row r="190" spans="2:14" x14ac:dyDescent="0.2">
      <c r="C190" s="12"/>
      <c r="D190" s="12"/>
      <c r="E190" s="12"/>
      <c r="F190" s="12"/>
      <c r="G190" s="12"/>
      <c r="H190" s="12"/>
      <c r="I190" s="12"/>
      <c r="K190" s="1"/>
    </row>
    <row r="192" spans="2:14" x14ac:dyDescent="0.2">
      <c r="N192" s="4"/>
    </row>
    <row r="193" spans="2:14" ht="15" x14ac:dyDescent="0.2">
      <c r="B193" s="33"/>
    </row>
    <row r="194" spans="2:14" x14ac:dyDescent="0.2">
      <c r="B194" s="34"/>
    </row>
    <row r="195" spans="2:14" x14ac:dyDescent="0.2">
      <c r="B195" s="13"/>
    </row>
    <row r="196" spans="2:14" x14ac:dyDescent="0.2">
      <c r="C196" s="13"/>
      <c r="D196" s="13"/>
      <c r="E196" s="13"/>
      <c r="F196" s="13"/>
      <c r="G196" s="13"/>
      <c r="H196" s="13"/>
      <c r="I196" s="13"/>
    </row>
    <row r="197" spans="2:14" x14ac:dyDescent="0.2">
      <c r="C197" s="10"/>
      <c r="E197" s="5"/>
      <c r="F197" s="5"/>
    </row>
    <row r="198" spans="2:14" x14ac:dyDescent="0.2">
      <c r="E198" s="19"/>
      <c r="F198" s="5"/>
      <c r="M198" s="1"/>
      <c r="N198" s="1"/>
    </row>
    <row r="199" spans="2:14" x14ac:dyDescent="0.2">
      <c r="C199" s="10"/>
      <c r="E199" s="5"/>
      <c r="F199" s="5"/>
    </row>
    <row r="200" spans="2:14" x14ac:dyDescent="0.2">
      <c r="B200" s="15"/>
      <c r="C200" s="10"/>
      <c r="E200" s="5"/>
      <c r="F200" s="5"/>
    </row>
    <row r="201" spans="2:14" x14ac:dyDescent="0.2">
      <c r="B201" s="15"/>
      <c r="C201" s="15"/>
      <c r="D201" s="15"/>
      <c r="E201" s="16"/>
      <c r="F201" s="16"/>
      <c r="G201" s="15"/>
      <c r="H201" s="15"/>
      <c r="I201" s="15"/>
    </row>
    <row r="202" spans="2:14" x14ac:dyDescent="0.2">
      <c r="B202" s="15"/>
      <c r="C202" s="15"/>
      <c r="D202" s="15"/>
      <c r="E202" s="16"/>
      <c r="F202" s="16"/>
      <c r="G202" s="15"/>
      <c r="H202" s="15"/>
      <c r="I202" s="15"/>
    </row>
    <row r="203" spans="2:14" x14ac:dyDescent="0.2">
      <c r="B203" s="15"/>
      <c r="C203" s="15"/>
      <c r="D203" s="15"/>
      <c r="E203" s="16"/>
      <c r="F203" s="16"/>
      <c r="G203" s="15"/>
      <c r="H203" s="15"/>
      <c r="I203" s="15"/>
    </row>
    <row r="204" spans="2:14" x14ac:dyDescent="0.2">
      <c r="B204" s="15"/>
      <c r="C204" s="15"/>
      <c r="D204" s="15"/>
      <c r="E204" s="16"/>
      <c r="F204" s="16"/>
      <c r="M204" s="1"/>
      <c r="N204" s="1"/>
    </row>
    <row r="205" spans="2:14" x14ac:dyDescent="0.2">
      <c r="B205" s="15"/>
      <c r="C205" s="15"/>
      <c r="D205" s="15"/>
      <c r="E205" s="16"/>
      <c r="F205" s="16"/>
      <c r="G205" s="15"/>
      <c r="H205" s="15"/>
      <c r="I205" s="15"/>
    </row>
    <row r="206" spans="2:14" x14ac:dyDescent="0.2">
      <c r="C206" s="20"/>
      <c r="D206" s="15"/>
      <c r="E206" s="16"/>
      <c r="F206" s="16"/>
      <c r="G206" s="16"/>
      <c r="H206" s="16"/>
      <c r="I206" s="16"/>
    </row>
    <row r="207" spans="2:14" x14ac:dyDescent="0.2">
      <c r="B207" s="15"/>
      <c r="C207" s="11"/>
      <c r="E207" s="19"/>
      <c r="F207" s="5"/>
      <c r="G207" s="5"/>
      <c r="H207" s="5"/>
      <c r="I207" s="5"/>
    </row>
    <row r="208" spans="2:14" x14ac:dyDescent="0.2">
      <c r="C208" s="20"/>
      <c r="D208" s="15"/>
      <c r="E208" s="16"/>
      <c r="F208" s="16"/>
      <c r="G208" s="16"/>
      <c r="H208" s="16"/>
      <c r="I208" s="16"/>
    </row>
    <row r="209" spans="2:9" x14ac:dyDescent="0.2">
      <c r="B209" s="15"/>
      <c r="C209" s="10"/>
      <c r="E209" s="5"/>
      <c r="F209" s="5"/>
    </row>
    <row r="210" spans="2:9" x14ac:dyDescent="0.2">
      <c r="B210" s="15"/>
      <c r="C210" s="15"/>
      <c r="D210" s="15"/>
      <c r="E210" s="16"/>
      <c r="F210" s="16"/>
      <c r="G210" s="15"/>
      <c r="H210" s="15"/>
      <c r="I210" s="15"/>
    </row>
    <row r="211" spans="2:9" x14ac:dyDescent="0.2">
      <c r="B211" s="15"/>
      <c r="C211" s="15"/>
      <c r="D211" s="15"/>
      <c r="E211" s="16"/>
      <c r="F211" s="16"/>
      <c r="G211" s="15"/>
      <c r="H211" s="15"/>
      <c r="I211" s="15"/>
    </row>
    <row r="212" spans="2:9" x14ac:dyDescent="0.2">
      <c r="C212" s="15"/>
      <c r="D212" s="15"/>
      <c r="E212" s="16"/>
      <c r="F212" s="16"/>
      <c r="G212" s="15"/>
      <c r="H212" s="15"/>
      <c r="I212" s="15"/>
    </row>
    <row r="213" spans="2:9" x14ac:dyDescent="0.2">
      <c r="B213" s="15"/>
      <c r="C213" s="11"/>
      <c r="E213" s="5"/>
      <c r="F213" s="5"/>
    </row>
    <row r="214" spans="2:9" x14ac:dyDescent="0.2">
      <c r="B214" s="15"/>
      <c r="C214" s="15"/>
      <c r="D214" s="15"/>
      <c r="E214" s="16"/>
      <c r="F214" s="16"/>
      <c r="G214" s="15"/>
      <c r="H214" s="15"/>
      <c r="I214" s="15"/>
    </row>
    <row r="215" spans="2:9" x14ac:dyDescent="0.2">
      <c r="B215" s="15"/>
      <c r="C215" s="15"/>
      <c r="D215" s="15"/>
      <c r="E215" s="16"/>
      <c r="F215" s="16"/>
      <c r="G215" s="15"/>
      <c r="H215" s="15"/>
      <c r="I215" s="15"/>
    </row>
    <row r="216" spans="2:9" x14ac:dyDescent="0.2">
      <c r="B216" s="10"/>
      <c r="C216" s="20"/>
      <c r="D216" s="15"/>
      <c r="E216" s="16"/>
      <c r="F216" s="16"/>
      <c r="G216" s="15"/>
      <c r="H216" s="15"/>
      <c r="I216" s="15"/>
    </row>
    <row r="217" spans="2:9" x14ac:dyDescent="0.2">
      <c r="B217" s="15"/>
      <c r="C217" s="10"/>
      <c r="D217" s="10"/>
      <c r="E217" s="19"/>
      <c r="F217" s="19"/>
      <c r="G217" s="19"/>
      <c r="H217" s="19"/>
      <c r="I217" s="19"/>
    </row>
    <row r="218" spans="2:9" x14ac:dyDescent="0.2">
      <c r="B218" s="15"/>
      <c r="C218" s="15"/>
      <c r="D218" s="15"/>
      <c r="E218" s="16"/>
      <c r="F218" s="16"/>
      <c r="G218" s="16"/>
      <c r="H218" s="16"/>
      <c r="I218" s="16"/>
    </row>
    <row r="219" spans="2:9" x14ac:dyDescent="0.2">
      <c r="B219" s="10"/>
      <c r="C219" s="15"/>
      <c r="D219" s="15"/>
      <c r="E219" s="16"/>
      <c r="F219" s="16"/>
      <c r="G219" s="15"/>
      <c r="H219" s="16"/>
      <c r="I219" s="16"/>
    </row>
    <row r="220" spans="2:9" x14ac:dyDescent="0.2">
      <c r="B220" s="15"/>
      <c r="C220" s="10"/>
      <c r="D220" s="10"/>
      <c r="E220" s="19"/>
      <c r="F220" s="19"/>
      <c r="G220" s="19"/>
      <c r="H220" s="19"/>
      <c r="I220" s="19"/>
    </row>
    <row r="221" spans="2:9" x14ac:dyDescent="0.2">
      <c r="B221" s="15"/>
      <c r="C221" s="15"/>
      <c r="D221" s="15"/>
      <c r="E221" s="16"/>
      <c r="F221" s="16"/>
      <c r="G221" s="15"/>
      <c r="H221" s="15"/>
      <c r="I221" s="15"/>
    </row>
    <row r="222" spans="2:9" x14ac:dyDescent="0.2">
      <c r="B222" s="15"/>
      <c r="C222" s="15"/>
      <c r="D222" s="15"/>
      <c r="E222" s="16"/>
      <c r="F222" s="16"/>
      <c r="G222" s="15"/>
      <c r="H222" s="15"/>
      <c r="I222" s="15"/>
    </row>
    <row r="223" spans="2:9" x14ac:dyDescent="0.2">
      <c r="B223" s="15"/>
      <c r="C223" s="15"/>
      <c r="D223" s="15"/>
      <c r="E223" s="16"/>
      <c r="F223" s="16"/>
      <c r="G223" s="15"/>
      <c r="H223" s="15"/>
      <c r="I223" s="15"/>
    </row>
    <row r="224" spans="2:9" x14ac:dyDescent="0.2">
      <c r="B224" s="15"/>
      <c r="C224" s="15"/>
      <c r="D224" s="15"/>
      <c r="E224" s="16"/>
      <c r="F224" s="16"/>
      <c r="G224" s="15"/>
      <c r="H224" s="15"/>
      <c r="I224" s="15"/>
    </row>
    <row r="225" spans="2:14" ht="12.75" customHeight="1" x14ac:dyDescent="0.2">
      <c r="B225" s="15"/>
      <c r="C225" s="15"/>
      <c r="D225" s="15"/>
      <c r="E225" s="16"/>
      <c r="F225" s="16"/>
      <c r="G225" s="15"/>
      <c r="H225" s="15"/>
      <c r="I225" s="15"/>
    </row>
    <row r="226" spans="2:14" x14ac:dyDescent="0.2">
      <c r="B226" s="15"/>
      <c r="C226" s="15"/>
      <c r="D226" s="15"/>
      <c r="E226" s="16"/>
      <c r="F226" s="16"/>
      <c r="G226" s="15"/>
      <c r="H226" s="15"/>
      <c r="I226" s="15"/>
    </row>
    <row r="227" spans="2:14" x14ac:dyDescent="0.2">
      <c r="C227" s="15"/>
      <c r="D227" s="15"/>
      <c r="E227" s="16"/>
      <c r="F227" s="16"/>
      <c r="G227" s="15"/>
      <c r="H227" s="15"/>
      <c r="I227" s="15"/>
    </row>
    <row r="228" spans="2:14" x14ac:dyDescent="0.2">
      <c r="E228" s="5"/>
      <c r="F228" s="35"/>
    </row>
    <row r="229" spans="2:14" x14ac:dyDescent="0.2">
      <c r="E229" s="5"/>
      <c r="F229" s="30"/>
    </row>
    <row r="230" spans="2:14" x14ac:dyDescent="0.2">
      <c r="C230" s="25"/>
      <c r="D230" s="15"/>
      <c r="E230" s="16"/>
      <c r="F230" s="26"/>
    </row>
    <row r="231" spans="2:14" x14ac:dyDescent="0.2">
      <c r="C231" s="23"/>
      <c r="E231" s="5"/>
      <c r="F231" s="5"/>
      <c r="I231" s="14"/>
    </row>
    <row r="232" spans="2:14" x14ac:dyDescent="0.2">
      <c r="C232" s="23"/>
      <c r="E232" s="5"/>
      <c r="F232" s="5"/>
    </row>
    <row r="233" spans="2:14" x14ac:dyDescent="0.2">
      <c r="C233" s="24"/>
      <c r="D233" s="14"/>
      <c r="E233" s="5"/>
      <c r="F233" s="5"/>
    </row>
    <row r="234" spans="2:14" x14ac:dyDescent="0.2">
      <c r="B234" s="10"/>
      <c r="C234" s="24"/>
      <c r="D234" s="14"/>
      <c r="E234" s="5"/>
      <c r="F234" s="5"/>
    </row>
    <row r="235" spans="2:14" x14ac:dyDescent="0.2">
      <c r="B235" s="10"/>
      <c r="D235" s="14"/>
      <c r="E235" s="19"/>
      <c r="F235" s="5"/>
      <c r="G235" s="10"/>
      <c r="H235" s="10"/>
      <c r="I235" s="32"/>
    </row>
    <row r="236" spans="2:14" x14ac:dyDescent="0.2">
      <c r="B236" s="27"/>
      <c r="D236" s="14"/>
      <c r="E236" s="19"/>
      <c r="F236" s="5"/>
      <c r="G236" s="10"/>
      <c r="H236" s="10"/>
      <c r="I236" s="10"/>
      <c r="K236" s="1"/>
    </row>
    <row r="237" spans="2:14" x14ac:dyDescent="0.2">
      <c r="B237" s="10"/>
      <c r="C237" s="27"/>
      <c r="D237" s="36"/>
      <c r="E237" s="28"/>
      <c r="F237" s="28"/>
      <c r="G237" s="27"/>
      <c r="H237" s="27"/>
      <c r="I237" s="27"/>
    </row>
    <row r="238" spans="2:14" x14ac:dyDescent="0.2">
      <c r="D238" s="14"/>
      <c r="E238" s="19"/>
      <c r="F238" s="5"/>
      <c r="G238" s="10"/>
      <c r="H238" s="10"/>
      <c r="I238" s="10"/>
      <c r="N238" s="4"/>
    </row>
    <row r="239" spans="2:14" x14ac:dyDescent="0.2">
      <c r="C239" s="1"/>
      <c r="E239" s="5"/>
      <c r="F239" s="6"/>
      <c r="G239" s="5"/>
      <c r="H239" s="5"/>
      <c r="I239" s="5"/>
    </row>
    <row r="240" spans="2:14" x14ac:dyDescent="0.2">
      <c r="C240" s="1"/>
      <c r="E240" s="5"/>
      <c r="F240" s="6"/>
      <c r="G240" s="5"/>
      <c r="H240" s="5"/>
    </row>
    <row r="241" spans="2:14" x14ac:dyDescent="0.2">
      <c r="C241" s="1"/>
      <c r="E241" s="5"/>
      <c r="F241" s="6"/>
      <c r="G241" s="5"/>
    </row>
    <row r="242" spans="2:14" x14ac:dyDescent="0.2">
      <c r="B242" s="34"/>
      <c r="C242" s="1"/>
      <c r="E242" s="5"/>
      <c r="F242" s="5"/>
    </row>
    <row r="243" spans="2:14" x14ac:dyDescent="0.2">
      <c r="B243" s="10"/>
      <c r="C243" s="1"/>
      <c r="E243" s="5"/>
      <c r="F243" s="5"/>
      <c r="I243" s="37"/>
    </row>
    <row r="244" spans="2:14" x14ac:dyDescent="0.2">
      <c r="B244" s="10"/>
      <c r="C244" s="10"/>
      <c r="D244" s="10"/>
      <c r="E244" s="19"/>
      <c r="F244" s="19"/>
      <c r="G244" s="19"/>
      <c r="H244" s="19"/>
      <c r="I244" s="19"/>
      <c r="M244" s="1"/>
      <c r="N244" s="1"/>
    </row>
    <row r="245" spans="2:14" x14ac:dyDescent="0.2">
      <c r="C245" s="11"/>
      <c r="D245" s="10"/>
      <c r="E245" s="19"/>
      <c r="F245" s="19"/>
      <c r="G245" s="19"/>
      <c r="H245" s="19"/>
      <c r="I245" s="19"/>
    </row>
    <row r="246" spans="2:14" x14ac:dyDescent="0.2">
      <c r="B246" s="14"/>
      <c r="C246" s="11"/>
      <c r="E246" s="5"/>
      <c r="F246" s="5"/>
      <c r="G246" s="5"/>
      <c r="H246" s="5"/>
      <c r="I246" s="5"/>
    </row>
    <row r="247" spans="2:14" x14ac:dyDescent="0.2">
      <c r="C247" s="11"/>
      <c r="E247" s="5"/>
      <c r="F247" s="5"/>
      <c r="G247" s="5"/>
      <c r="H247" s="5"/>
      <c r="I247" s="5"/>
    </row>
    <row r="248" spans="2:14" x14ac:dyDescent="0.2">
      <c r="F248" s="5"/>
    </row>
    <row r="249" spans="2:14" x14ac:dyDescent="0.2">
      <c r="F249" s="5"/>
    </row>
    <row r="250" spans="2:14" x14ac:dyDescent="0.2">
      <c r="E250" s="5"/>
      <c r="F250" s="5"/>
      <c r="M250" s="1"/>
      <c r="N250" s="1"/>
    </row>
    <row r="251" spans="2:14" x14ac:dyDescent="0.2">
      <c r="E251" s="5"/>
      <c r="F251" s="1"/>
    </row>
    <row r="252" spans="2:14" x14ac:dyDescent="0.2">
      <c r="B252" s="38"/>
      <c r="C252" s="10"/>
      <c r="E252" s="1"/>
      <c r="F252" s="1"/>
    </row>
    <row r="253" spans="2:14" x14ac:dyDescent="0.2">
      <c r="B253" s="41"/>
      <c r="C253" s="10"/>
      <c r="E253" s="1"/>
      <c r="F253" s="1"/>
    </row>
    <row r="254" spans="2:14" x14ac:dyDescent="0.2">
      <c r="B254" s="41"/>
      <c r="C254" s="41"/>
      <c r="D254" s="41"/>
      <c r="E254" s="41"/>
      <c r="F254" s="41"/>
      <c r="G254" s="41"/>
      <c r="H254" s="41"/>
      <c r="I254" s="41"/>
    </row>
    <row r="255" spans="2:14" x14ac:dyDescent="0.2">
      <c r="B255" s="38"/>
      <c r="C255" s="41"/>
      <c r="D255" s="41"/>
      <c r="E255" s="41"/>
      <c r="F255" s="41"/>
      <c r="G255" s="41"/>
      <c r="H255" s="41"/>
      <c r="I255" s="41"/>
    </row>
    <row r="256" spans="2:14" x14ac:dyDescent="0.2">
      <c r="B256" s="12"/>
      <c r="E256" s="1"/>
      <c r="F256" s="1"/>
    </row>
    <row r="257" spans="2:9" x14ac:dyDescent="0.2">
      <c r="B257" s="12"/>
      <c r="C257" s="12"/>
      <c r="D257" s="12"/>
      <c r="E257" s="12"/>
      <c r="F257" s="12"/>
      <c r="G257" s="12"/>
      <c r="H257" s="12"/>
      <c r="I257" s="12"/>
    </row>
    <row r="258" spans="2:9" x14ac:dyDescent="0.2">
      <c r="C258" s="12"/>
      <c r="D258" s="12"/>
      <c r="E258" s="12"/>
      <c r="F258" s="12"/>
      <c r="G258" s="12"/>
      <c r="H258" s="12"/>
      <c r="I258" s="12"/>
    </row>
    <row r="270" spans="2:9" ht="12.75" customHeight="1" x14ac:dyDescent="0.2"/>
    <row r="271" spans="2:9" ht="12.75" customHeight="1" x14ac:dyDescent="0.2"/>
    <row r="282" spans="11:14" x14ac:dyDescent="0.2">
      <c r="K282" s="1"/>
    </row>
    <row r="284" spans="11:14" x14ac:dyDescent="0.2">
      <c r="N284" s="4"/>
    </row>
    <row r="296" spans="13:14" x14ac:dyDescent="0.2">
      <c r="M296" s="1"/>
      <c r="N296" s="1"/>
    </row>
    <row r="317" ht="12.75" customHeight="1" x14ac:dyDescent="0.2"/>
    <row r="342" spans="13:14" x14ac:dyDescent="0.2">
      <c r="M342" s="1"/>
      <c r="N342" s="1"/>
    </row>
    <row r="363" ht="12.75" customHeight="1" x14ac:dyDescent="0.2"/>
  </sheetData>
  <mergeCells count="9">
    <mergeCell ref="C11:I11"/>
    <mergeCell ref="A14:A29"/>
    <mergeCell ref="A30:A42"/>
    <mergeCell ref="A43:A57"/>
    <mergeCell ref="C91:C93"/>
    <mergeCell ref="D83:E83"/>
    <mergeCell ref="D84:E84"/>
    <mergeCell ref="D85:E85"/>
    <mergeCell ref="A58:A65"/>
  </mergeCells>
  <conditionalFormatting sqref="B30:C42">
    <cfRule type="expression" dxfId="26" priority="3" stopIfTrue="1">
      <formula>OR($C30&gt;0)=TRUE</formula>
    </cfRule>
  </conditionalFormatting>
  <conditionalFormatting sqref="B21:E25">
    <cfRule type="expression" dxfId="25" priority="12" stopIfTrue="1">
      <formula>OR($C21&gt;0)=TRUE</formula>
    </cfRule>
  </conditionalFormatting>
  <conditionalFormatting sqref="B15:F20">
    <cfRule type="expression" dxfId="24" priority="27" stopIfTrue="1">
      <formula>OR($C15&gt;0)=TRUE</formula>
    </cfRule>
  </conditionalFormatting>
  <conditionalFormatting sqref="B47:G65">
    <cfRule type="expression" dxfId="23" priority="15" stopIfTrue="1">
      <formula>OR($C47&gt;0)=TRUE</formula>
    </cfRule>
  </conditionalFormatting>
  <conditionalFormatting sqref="B46:H46">
    <cfRule type="expression" dxfId="22" priority="1" stopIfTrue="1">
      <formula>OR($C46&gt;0)=TRUE</formula>
    </cfRule>
  </conditionalFormatting>
  <conditionalFormatting sqref="B14:I14 G14:G45 H15:I65 F21:F35 B26:D29 D30:D35 D36:F36 B43:D45">
    <cfRule type="expression" dxfId="21" priority="46" stopIfTrue="1">
      <formula>OR($C14&gt;0)=TRUE</formula>
    </cfRule>
  </conditionalFormatting>
  <conditionalFormatting sqref="D37:D42">
    <cfRule type="expression" dxfId="20" priority="37" stopIfTrue="1">
      <formula>OR($C37&gt;0)=TRUE</formula>
    </cfRule>
  </conditionalFormatting>
  <conditionalFormatting sqref="E26:E35">
    <cfRule type="expression" dxfId="19" priority="21" stopIfTrue="1">
      <formula>OR($C26&gt;0)=TRUE</formula>
    </cfRule>
  </conditionalFormatting>
  <conditionalFormatting sqref="E37:F45">
    <cfRule type="expression" dxfId="18" priority="13" stopIfTrue="1">
      <formula>OR($C37&gt;0)=TRUE</formula>
    </cfRule>
  </conditionalFormatting>
  <dataValidations count="7">
    <dataValidation type="list" allowBlank="1" showInputMessage="1" showErrorMessage="1" sqref="A74:A75 A68:A69 A71:A72 A77" xr:uid="{12069A1C-C836-42BA-89C7-8BDE90F17A25}">
      <formula1>"Yes,No"</formula1>
    </dataValidation>
    <dataValidation type="list" allowBlank="1" showInputMessage="1" showErrorMessage="1" promptTitle="Wage Requirement" prompt="Select Wage Requirement" sqref="G70" xr:uid="{00000000-0002-0000-0100-000001000000}">
      <formula1>"Not PW, PW"</formula1>
    </dataValidation>
    <dataValidation type="list" allowBlank="1" showInputMessage="1" showErrorMessage="1" sqref="G68" xr:uid="{027B500C-557C-4717-ACCE-381168A49987}">
      <formula1>"Taxable, TAX EXEMPT"</formula1>
    </dataValidation>
    <dataValidation type="list" allowBlank="1" showInputMessage="1" showErrorMessage="1" sqref="E77" xr:uid="{F2A9C5E9-4AF1-4A21-BCB3-DBD62E26F454}">
      <formula1>"None, GAF System Plus, GAF Golden Pledge, CertainTeed 3 Star, CertainTeed 5 Star"</formula1>
    </dataValidation>
    <dataValidation type="list" allowBlank="1" showInputMessage="1" showErrorMessage="1" sqref="A85" xr:uid="{C1CC08F8-C7D2-4EFB-AC60-834FCEEC5A4B}">
      <formula1>"N/A, David, Robert G, RQ Fab, Other"</formula1>
    </dataValidation>
    <dataValidation type="list" allowBlank="1" showInputMessage="1" showErrorMessage="1" sqref="E74" xr:uid="{0E7C7B03-3E1C-4FBB-AEFD-8F3D1E762589}">
      <formula1>"No, Yes"</formula1>
    </dataValidation>
    <dataValidation type="list" allowBlank="1" showInputMessage="1" showErrorMessage="1" sqref="C79" xr:uid="{5F7A1073-7678-4A5B-9007-BF77E2E8CBA7}">
      <formula1>"Central MA, Outside CMA"</formula1>
    </dataValidation>
  </dataValidations>
  <pageMargins left="0.75" right="0.75" top="1" bottom="1" header="0.5" footer="0.5"/>
  <pageSetup scale="59" fitToHeight="0" orientation="portrait" horizontalDpi="300" verticalDpi="300" r:id="rId1"/>
  <headerFooter alignWithMargins="0"/>
  <rowBreaks count="1" manualBreakCount="1">
    <brk id="97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0A68-3BAA-4F5A-9E2E-70B566C0CEAC}">
  <sheetPr>
    <pageSetUpPr fitToPage="1"/>
  </sheetPr>
  <dimension ref="A1:N363"/>
  <sheetViews>
    <sheetView topLeftCell="A65" zoomScale="115" zoomScaleNormal="115" workbookViewId="0">
      <selection activeCell="E71" sqref="E71"/>
    </sheetView>
  </sheetViews>
  <sheetFormatPr defaultRowHeight="12.75" outlineLevelRow="1" x14ac:dyDescent="0.2"/>
  <cols>
    <col min="1" max="1" width="9.140625" customWidth="1"/>
    <col min="2" max="2" width="55.42578125" customWidth="1"/>
    <col min="3" max="3" width="13.28515625" customWidth="1"/>
    <col min="4" max="4" width="21" customWidth="1"/>
    <col min="5" max="5" width="17.140625" customWidth="1"/>
    <col min="6" max="6" width="16.5703125" customWidth="1"/>
    <col min="7" max="7" width="12.42578125" customWidth="1"/>
    <col min="8" max="8" width="11" customWidth="1"/>
    <col min="9" max="9" width="17.85546875" customWidth="1"/>
    <col min="10" max="10" width="21.7109375" customWidth="1"/>
    <col min="11" max="11" width="7.5703125" hidden="1" customWidth="1"/>
    <col min="13" max="13" width="10.140625" customWidth="1"/>
    <col min="14" max="14" width="14.7109375" customWidth="1"/>
  </cols>
  <sheetData>
    <row r="1" spans="1:14" ht="13.15" customHeight="1" x14ac:dyDescent="0.2">
      <c r="A1" s="14"/>
      <c r="B1" s="10"/>
      <c r="C1" s="114"/>
      <c r="D1" s="115"/>
      <c r="E1" s="115"/>
      <c r="F1" s="115"/>
      <c r="G1" s="115"/>
      <c r="H1" s="115"/>
      <c r="I1" s="115"/>
    </row>
    <row r="2" spans="1:14" ht="13.15" customHeight="1" x14ac:dyDescent="0.2">
      <c r="A2" s="116" t="s">
        <v>136</v>
      </c>
      <c r="B2" s="117" t="s">
        <v>185</v>
      </c>
      <c r="C2" s="115"/>
      <c r="D2" s="115"/>
      <c r="E2" s="115"/>
      <c r="F2" s="115"/>
      <c r="G2" s="115"/>
      <c r="H2" s="115"/>
      <c r="I2" s="115"/>
    </row>
    <row r="3" spans="1:14" ht="13.15" customHeight="1" x14ac:dyDescent="0.25">
      <c r="A3" s="116"/>
      <c r="B3" s="118"/>
      <c r="C3" s="115"/>
      <c r="D3" s="115"/>
      <c r="E3" s="115"/>
      <c r="F3" s="115"/>
      <c r="G3" s="115"/>
      <c r="H3" s="115"/>
      <c r="I3" s="115"/>
    </row>
    <row r="4" spans="1:14" ht="12.75" customHeight="1" x14ac:dyDescent="0.2">
      <c r="A4" s="116" t="s">
        <v>39</v>
      </c>
      <c r="B4" s="119" t="s">
        <v>186</v>
      </c>
      <c r="C4" s="115"/>
      <c r="D4" s="115"/>
      <c r="E4" s="115"/>
      <c r="F4" s="115"/>
      <c r="G4" s="115"/>
      <c r="H4" s="115"/>
      <c r="I4" s="115"/>
    </row>
    <row r="5" spans="1:14" ht="14.25" x14ac:dyDescent="0.2">
      <c r="A5" s="117"/>
      <c r="B5" s="117" t="str">
        <f>IF('Take off'!C4=0,"",'Take off'!C4)</f>
        <v/>
      </c>
      <c r="C5" s="45"/>
    </row>
    <row r="6" spans="1:14" x14ac:dyDescent="0.2">
      <c r="C6" s="34"/>
      <c r="D6" s="34"/>
      <c r="I6" s="45"/>
    </row>
    <row r="7" spans="1:14" x14ac:dyDescent="0.2">
      <c r="A7">
        <v>1</v>
      </c>
      <c r="B7" s="81" t="s">
        <v>91</v>
      </c>
      <c r="C7" s="34"/>
      <c r="D7" s="34"/>
      <c r="E7" s="10"/>
      <c r="I7" s="45"/>
    </row>
    <row r="8" spans="1:14" x14ac:dyDescent="0.2">
      <c r="A8">
        <v>2</v>
      </c>
      <c r="B8" s="82" t="s">
        <v>92</v>
      </c>
      <c r="C8" s="34"/>
      <c r="D8" s="34"/>
      <c r="E8" s="10"/>
      <c r="I8" s="45"/>
    </row>
    <row r="9" spans="1:14" x14ac:dyDescent="0.2">
      <c r="A9">
        <v>3</v>
      </c>
      <c r="B9" s="139" t="s">
        <v>160</v>
      </c>
      <c r="C9" s="34"/>
      <c r="D9" s="34"/>
      <c r="E9" s="10"/>
      <c r="I9" s="45"/>
    </row>
    <row r="10" spans="1:14" x14ac:dyDescent="0.2">
      <c r="C10" s="45"/>
      <c r="E10" s="45"/>
      <c r="F10" s="45"/>
      <c r="G10" s="45"/>
      <c r="H10" s="45"/>
      <c r="I10" s="45"/>
    </row>
    <row r="11" spans="1:14" ht="18" x14ac:dyDescent="0.25">
      <c r="B11" s="79">
        <v>2700</v>
      </c>
      <c r="C11" s="225" t="s">
        <v>158</v>
      </c>
      <c r="D11" s="226"/>
      <c r="E11" s="226"/>
      <c r="F11" s="226"/>
      <c r="G11" s="226"/>
      <c r="H11" s="226"/>
      <c r="I11" s="226"/>
    </row>
    <row r="12" spans="1:14" ht="15.75" thickBot="1" x14ac:dyDescent="0.25">
      <c r="B12" s="33"/>
    </row>
    <row r="13" spans="1:14" ht="13.5" thickBot="1" x14ac:dyDescent="0.25">
      <c r="B13" s="153" t="s">
        <v>0</v>
      </c>
      <c r="C13" s="154" t="s">
        <v>1</v>
      </c>
      <c r="D13" s="154" t="s">
        <v>142</v>
      </c>
      <c r="E13" s="154" t="s">
        <v>3</v>
      </c>
      <c r="F13" s="154" t="s">
        <v>2</v>
      </c>
      <c r="G13" s="154" t="s">
        <v>11</v>
      </c>
      <c r="H13" s="154" t="s">
        <v>10</v>
      </c>
      <c r="I13" s="155" t="s">
        <v>12</v>
      </c>
      <c r="J13" s="13"/>
    </row>
    <row r="14" spans="1:14" s="46" customFormat="1" ht="12.75" customHeight="1" x14ac:dyDescent="0.2">
      <c r="A14" s="227" t="s">
        <v>153</v>
      </c>
      <c r="B14" s="156" t="s">
        <v>38</v>
      </c>
      <c r="C14" s="149">
        <v>9</v>
      </c>
      <c r="D14" s="150" t="s">
        <v>6</v>
      </c>
      <c r="E14" s="157">
        <v>77.599699999999999</v>
      </c>
      <c r="F14" s="151">
        <f t="shared" ref="F14:F43" si="0">SUM(C14)*(E14)</f>
        <v>698.39729999999997</v>
      </c>
      <c r="G14" s="151">
        <f>SUM(F14)*0.0625</f>
        <v>43.649831249999998</v>
      </c>
      <c r="H14" s="151">
        <f>SUM(F14:G14)</f>
        <v>742.04713125000001</v>
      </c>
      <c r="I14" s="158">
        <f>SUM(H14)*1.4</f>
        <v>1038.8659837499999</v>
      </c>
      <c r="M14" s="47"/>
      <c r="N14" s="47"/>
    </row>
    <row r="15" spans="1:14" s="15" customFormat="1" x14ac:dyDescent="0.2">
      <c r="A15" s="228"/>
      <c r="B15" s="39" t="s">
        <v>48</v>
      </c>
      <c r="C15" s="159"/>
      <c r="D15" s="15" t="s">
        <v>6</v>
      </c>
      <c r="E15" s="160">
        <v>100.71</v>
      </c>
      <c r="F15" s="16">
        <f>SUM(C15)*(E15)</f>
        <v>0</v>
      </c>
      <c r="G15" s="16">
        <f>SUM(F15)*0.0625</f>
        <v>0</v>
      </c>
      <c r="H15" s="16">
        <f>SUM(F15:G15)</f>
        <v>0</v>
      </c>
      <c r="I15" s="21">
        <f>SUM(H15)*1.4</f>
        <v>0</v>
      </c>
      <c r="J15" s="42"/>
      <c r="M15" s="18"/>
      <c r="N15" s="18"/>
    </row>
    <row r="16" spans="1:14" s="15" customFormat="1" x14ac:dyDescent="0.2">
      <c r="A16" s="228"/>
      <c r="B16" s="39" t="s">
        <v>123</v>
      </c>
      <c r="C16" s="147">
        <v>2</v>
      </c>
      <c r="D16" s="120" t="s">
        <v>6</v>
      </c>
      <c r="E16" s="160">
        <v>113.54940000000001</v>
      </c>
      <c r="F16" s="121">
        <f>SUM(C16)*(E16)</f>
        <v>227.09880000000001</v>
      </c>
      <c r="G16" s="16">
        <f t="shared" ref="G16:G65" si="1">SUM(F16)*0.0625</f>
        <v>14.193675000000001</v>
      </c>
      <c r="H16" s="16">
        <f t="shared" ref="H16:H65" si="2">SUM(F16:G16)</f>
        <v>241.29247500000002</v>
      </c>
      <c r="I16" s="21">
        <f t="shared" ref="I16:I65" si="3">SUM(H16)*1.4</f>
        <v>337.80946499999999</v>
      </c>
    </row>
    <row r="17" spans="1:14" s="46" customFormat="1" x14ac:dyDescent="0.2">
      <c r="A17" s="228"/>
      <c r="B17" s="39" t="s">
        <v>165</v>
      </c>
      <c r="C17" s="159"/>
      <c r="D17" s="15" t="s">
        <v>6</v>
      </c>
      <c r="E17" s="160">
        <v>200.5</v>
      </c>
      <c r="F17" s="121">
        <f>SUM(C17)*(E17)</f>
        <v>0</v>
      </c>
      <c r="G17" s="16">
        <f t="shared" si="1"/>
        <v>0</v>
      </c>
      <c r="H17" s="16">
        <f t="shared" si="2"/>
        <v>0</v>
      </c>
      <c r="I17" s="21">
        <f t="shared" si="3"/>
        <v>0</v>
      </c>
    </row>
    <row r="18" spans="1:14" s="46" customFormat="1" x14ac:dyDescent="0.2">
      <c r="A18" s="228"/>
      <c r="B18" s="49" t="s">
        <v>14</v>
      </c>
      <c r="C18" s="147">
        <f>IF(AND('Take off'!C28=400,'Take off'!F8="GAF"),'Take off'!D28,0)</f>
        <v>0</v>
      </c>
      <c r="D18" s="120" t="s">
        <v>6</v>
      </c>
      <c r="E18" s="160">
        <v>60.81</v>
      </c>
      <c r="F18" s="121">
        <f t="shared" si="0"/>
        <v>0</v>
      </c>
      <c r="G18" s="16">
        <f t="shared" si="1"/>
        <v>0</v>
      </c>
      <c r="H18" s="16">
        <f t="shared" si="2"/>
        <v>0</v>
      </c>
      <c r="I18" s="21">
        <f t="shared" si="3"/>
        <v>0</v>
      </c>
    </row>
    <row r="19" spans="1:14" s="46" customFormat="1" x14ac:dyDescent="0.2">
      <c r="A19" s="228"/>
      <c r="B19" s="39" t="s">
        <v>127</v>
      </c>
      <c r="C19" s="147">
        <v>4</v>
      </c>
      <c r="D19" s="120" t="s">
        <v>7</v>
      </c>
      <c r="E19" s="160">
        <v>56.330599999999997</v>
      </c>
      <c r="F19" s="121">
        <f t="shared" si="0"/>
        <v>225.32239999999999</v>
      </c>
      <c r="G19" s="16">
        <f t="shared" si="1"/>
        <v>14.082649999999999</v>
      </c>
      <c r="H19" s="16">
        <f t="shared" si="2"/>
        <v>239.40504999999999</v>
      </c>
      <c r="I19" s="21">
        <f t="shared" si="3"/>
        <v>335.16706999999997</v>
      </c>
      <c r="M19" s="47"/>
      <c r="N19" s="47"/>
    </row>
    <row r="20" spans="1:14" s="46" customFormat="1" x14ac:dyDescent="0.2">
      <c r="A20" s="228"/>
      <c r="B20" s="39" t="s">
        <v>156</v>
      </c>
      <c r="C20" s="152"/>
      <c r="D20" s="120" t="s">
        <v>7</v>
      </c>
      <c r="E20" s="121">
        <v>60</v>
      </c>
      <c r="F20" s="121">
        <f>SUM(C20)*(E20)</f>
        <v>0</v>
      </c>
      <c r="G20" s="16">
        <f t="shared" si="1"/>
        <v>0</v>
      </c>
      <c r="H20" s="16">
        <f t="shared" si="2"/>
        <v>0</v>
      </c>
      <c r="I20" s="21">
        <f t="shared" si="3"/>
        <v>0</v>
      </c>
      <c r="M20" s="47"/>
      <c r="N20" s="47"/>
    </row>
    <row r="21" spans="1:14" s="46" customFormat="1" x14ac:dyDescent="0.2">
      <c r="A21" s="228"/>
      <c r="B21" s="39" t="s">
        <v>189</v>
      </c>
      <c r="C21" s="152">
        <v>1</v>
      </c>
      <c r="D21" s="15" t="s">
        <v>6</v>
      </c>
      <c r="E21" s="160">
        <v>127.5</v>
      </c>
      <c r="F21" s="121">
        <f t="shared" si="0"/>
        <v>127.5</v>
      </c>
      <c r="G21" s="16">
        <f t="shared" si="1"/>
        <v>7.96875</v>
      </c>
      <c r="H21" s="16">
        <f t="shared" si="2"/>
        <v>135.46875</v>
      </c>
      <c r="I21" s="21">
        <f t="shared" si="3"/>
        <v>189.65625</v>
      </c>
      <c r="M21" s="47"/>
      <c r="N21" s="47"/>
    </row>
    <row r="22" spans="1:14" s="46" customFormat="1" x14ac:dyDescent="0.2">
      <c r="A22" s="228"/>
      <c r="B22" s="39" t="s">
        <v>190</v>
      </c>
      <c r="C22" s="171">
        <v>1</v>
      </c>
      <c r="D22" s="15" t="s">
        <v>6</v>
      </c>
      <c r="E22" s="160">
        <v>126.25</v>
      </c>
      <c r="F22" s="121">
        <f t="shared" si="0"/>
        <v>126.25</v>
      </c>
      <c r="G22" s="16">
        <f t="shared" si="1"/>
        <v>7.890625</v>
      </c>
      <c r="H22" s="16">
        <f t="shared" si="2"/>
        <v>134.140625</v>
      </c>
      <c r="I22" s="21">
        <f t="shared" si="3"/>
        <v>187.796875</v>
      </c>
      <c r="M22" s="47"/>
      <c r="N22" s="47"/>
    </row>
    <row r="23" spans="1:14" s="15" customFormat="1" x14ac:dyDescent="0.2">
      <c r="A23" s="228"/>
      <c r="B23" s="39" t="s">
        <v>125</v>
      </c>
      <c r="C23" s="161">
        <v>29</v>
      </c>
      <c r="D23" s="15" t="s">
        <v>9</v>
      </c>
      <c r="E23" s="160">
        <v>126</v>
      </c>
      <c r="F23" s="121">
        <f>SUM(C23)*(E23)</f>
        <v>3654</v>
      </c>
      <c r="G23" s="16">
        <f t="shared" si="1"/>
        <v>228.375</v>
      </c>
      <c r="H23" s="16">
        <f t="shared" si="2"/>
        <v>3882.375</v>
      </c>
      <c r="I23" s="21">
        <f t="shared" si="3"/>
        <v>5435.3249999999998</v>
      </c>
      <c r="M23" s="18"/>
      <c r="N23" s="18"/>
    </row>
    <row r="24" spans="1:14" s="15" customFormat="1" x14ac:dyDescent="0.2">
      <c r="A24" s="228"/>
      <c r="B24" s="39" t="s">
        <v>125</v>
      </c>
      <c r="C24" s="161">
        <f>IF(AND('Take off'!C29=3,'Take off'!F8="GAF"),'Take off'!D29,0)</f>
        <v>0</v>
      </c>
      <c r="D24" s="15" t="s">
        <v>7</v>
      </c>
      <c r="E24" s="160">
        <f>E23/3</f>
        <v>42</v>
      </c>
      <c r="F24" s="121">
        <f t="shared" si="0"/>
        <v>0</v>
      </c>
      <c r="G24" s="16">
        <f t="shared" si="1"/>
        <v>0</v>
      </c>
      <c r="H24" s="16">
        <f t="shared" si="2"/>
        <v>0</v>
      </c>
      <c r="I24" s="21">
        <f t="shared" si="3"/>
        <v>0</v>
      </c>
      <c r="M24" s="18"/>
      <c r="N24" s="18"/>
    </row>
    <row r="25" spans="1:14" s="15" customFormat="1" x14ac:dyDescent="0.2">
      <c r="A25" s="228"/>
      <c r="B25" s="39" t="s">
        <v>138</v>
      </c>
      <c r="C25" s="152"/>
      <c r="D25" s="120" t="s">
        <v>9</v>
      </c>
      <c r="E25" s="121">
        <v>205</v>
      </c>
      <c r="F25" s="121">
        <f t="shared" si="0"/>
        <v>0</v>
      </c>
      <c r="G25" s="16">
        <f t="shared" si="1"/>
        <v>0</v>
      </c>
      <c r="H25" s="16">
        <f t="shared" si="2"/>
        <v>0</v>
      </c>
      <c r="I25" s="21">
        <f t="shared" si="3"/>
        <v>0</v>
      </c>
      <c r="M25" s="18"/>
      <c r="N25" s="18"/>
    </row>
    <row r="26" spans="1:14" s="46" customFormat="1" x14ac:dyDescent="0.2">
      <c r="A26" s="228"/>
      <c r="B26" s="39" t="s">
        <v>139</v>
      </c>
      <c r="C26" s="161">
        <v>6</v>
      </c>
      <c r="D26" s="120" t="s">
        <v>7</v>
      </c>
      <c r="E26" s="160">
        <v>59.88</v>
      </c>
      <c r="F26" s="121">
        <f>SUM(C26)*(E26)</f>
        <v>359.28000000000003</v>
      </c>
      <c r="G26" s="16">
        <f t="shared" si="1"/>
        <v>22.455000000000002</v>
      </c>
      <c r="H26" s="16">
        <f t="shared" si="2"/>
        <v>381.73500000000001</v>
      </c>
      <c r="I26" s="21">
        <f t="shared" si="3"/>
        <v>534.42899999999997</v>
      </c>
      <c r="M26" s="47"/>
      <c r="N26" s="47"/>
    </row>
    <row r="27" spans="1:14" s="46" customFormat="1" x14ac:dyDescent="0.2">
      <c r="A27" s="228"/>
      <c r="B27" s="39" t="s">
        <v>47</v>
      </c>
      <c r="C27" s="161">
        <f>IF(AND('Take off'!C30=20,'Take off'!F8="GAF"), 'Take off'!D30,0)</f>
        <v>0</v>
      </c>
      <c r="D27" s="120" t="s">
        <v>7</v>
      </c>
      <c r="E27" s="160">
        <v>60.59</v>
      </c>
      <c r="F27" s="121">
        <f>SUM(C27)*(E27)</f>
        <v>0</v>
      </c>
      <c r="G27" s="16">
        <f t="shared" si="1"/>
        <v>0</v>
      </c>
      <c r="H27" s="16">
        <f t="shared" si="2"/>
        <v>0</v>
      </c>
      <c r="I27" s="21">
        <f t="shared" si="3"/>
        <v>0</v>
      </c>
      <c r="M27" s="47"/>
      <c r="N27" s="47"/>
    </row>
    <row r="28" spans="1:14" s="15" customFormat="1" x14ac:dyDescent="0.2">
      <c r="A28" s="228"/>
      <c r="B28" s="39" t="s">
        <v>143</v>
      </c>
      <c r="C28" s="161">
        <v>26</v>
      </c>
      <c r="D28" s="120" t="s">
        <v>17</v>
      </c>
      <c r="E28" s="160">
        <v>11.8476</v>
      </c>
      <c r="F28" s="121">
        <f>SUM(C28)*(E28)</f>
        <v>308.0376</v>
      </c>
      <c r="G28" s="16">
        <f t="shared" si="1"/>
        <v>19.25235</v>
      </c>
      <c r="H28" s="16">
        <f t="shared" si="2"/>
        <v>327.28994999999998</v>
      </c>
      <c r="I28" s="21">
        <f t="shared" si="3"/>
        <v>458.20592999999991</v>
      </c>
    </row>
    <row r="29" spans="1:14" s="46" customFormat="1" ht="13.5" thickBot="1" x14ac:dyDescent="0.25">
      <c r="A29" s="229"/>
      <c r="B29" s="50" t="s">
        <v>24</v>
      </c>
      <c r="C29" s="162">
        <f>IF(AND('Take off'!C35=20,'Take off'!F8="GAF"),'Take off'!D35,0)</f>
        <v>0</v>
      </c>
      <c r="D29" s="51" t="s">
        <v>6</v>
      </c>
      <c r="E29" s="163">
        <v>45</v>
      </c>
      <c r="F29" s="52">
        <f t="shared" si="0"/>
        <v>0</v>
      </c>
      <c r="G29" s="166">
        <f t="shared" si="1"/>
        <v>0</v>
      </c>
      <c r="H29" s="166">
        <f t="shared" si="2"/>
        <v>0</v>
      </c>
      <c r="I29" s="167">
        <f t="shared" si="3"/>
        <v>0</v>
      </c>
    </row>
    <row r="30" spans="1:14" s="15" customFormat="1" x14ac:dyDescent="0.2">
      <c r="A30" s="230" t="s">
        <v>28</v>
      </c>
      <c r="B30" s="156" t="s">
        <v>25</v>
      </c>
      <c r="C30" s="149">
        <f>IF('Take off'!F8="CertainTeed",'Take off'!D27,0)</f>
        <v>0</v>
      </c>
      <c r="D30" s="150" t="s">
        <v>6</v>
      </c>
      <c r="E30" s="157">
        <v>82.5</v>
      </c>
      <c r="F30" s="151">
        <f t="shared" si="0"/>
        <v>0</v>
      </c>
      <c r="G30" s="168">
        <f t="shared" si="1"/>
        <v>0</v>
      </c>
      <c r="H30" s="168">
        <f t="shared" si="2"/>
        <v>0</v>
      </c>
      <c r="I30" s="169">
        <f t="shared" si="3"/>
        <v>0</v>
      </c>
      <c r="L30" s="18"/>
      <c r="M30" s="18"/>
    </row>
    <row r="31" spans="1:14" s="15" customFormat="1" x14ac:dyDescent="0.2">
      <c r="A31" s="231"/>
      <c r="B31" s="39" t="s">
        <v>35</v>
      </c>
      <c r="C31" s="159"/>
      <c r="D31" s="120" t="s">
        <v>6</v>
      </c>
      <c r="E31" s="160">
        <v>176.32</v>
      </c>
      <c r="F31" s="121">
        <f>SUM(C31)*(E31)</f>
        <v>0</v>
      </c>
      <c r="G31" s="16">
        <f t="shared" si="1"/>
        <v>0</v>
      </c>
      <c r="H31" s="16">
        <f t="shared" si="2"/>
        <v>0</v>
      </c>
      <c r="I31" s="21">
        <f t="shared" si="3"/>
        <v>0</v>
      </c>
    </row>
    <row r="32" spans="1:14" s="15" customFormat="1" x14ac:dyDescent="0.2">
      <c r="A32" s="231"/>
      <c r="B32" s="39" t="s">
        <v>166</v>
      </c>
      <c r="C32" s="161">
        <f>IF(AND('Take off'!C28=1000,'Take off'!F8="CertainTeed"),'Take off'!D28,0)</f>
        <v>0</v>
      </c>
      <c r="D32" s="120" t="s">
        <v>6</v>
      </c>
      <c r="E32" s="160">
        <v>112.65</v>
      </c>
      <c r="F32" s="121">
        <f>SUM(C32)*(E32)</f>
        <v>0</v>
      </c>
      <c r="G32" s="16">
        <f t="shared" si="1"/>
        <v>0</v>
      </c>
      <c r="H32" s="16">
        <f t="shared" si="2"/>
        <v>0</v>
      </c>
      <c r="I32" s="21">
        <f t="shared" si="3"/>
        <v>0</v>
      </c>
    </row>
    <row r="33" spans="1:14" s="15" customFormat="1" x14ac:dyDescent="0.2">
      <c r="A33" s="231"/>
      <c r="B33" s="49" t="s">
        <v>26</v>
      </c>
      <c r="C33" s="161">
        <f>IF(AND('Take off'!C28=400,'Take off'!F8="CertainTeed"),'Take off'!D28,0)</f>
        <v>0</v>
      </c>
      <c r="D33" s="120" t="s">
        <v>6</v>
      </c>
      <c r="E33" s="160">
        <v>63.38</v>
      </c>
      <c r="F33" s="121">
        <f t="shared" si="0"/>
        <v>0</v>
      </c>
      <c r="G33" s="16">
        <f t="shared" si="1"/>
        <v>0</v>
      </c>
      <c r="H33" s="16">
        <f t="shared" si="2"/>
        <v>0</v>
      </c>
      <c r="I33" s="21">
        <f t="shared" si="3"/>
        <v>0</v>
      </c>
    </row>
    <row r="34" spans="1:14" s="15" customFormat="1" x14ac:dyDescent="0.2">
      <c r="A34" s="231"/>
      <c r="B34" s="39" t="s">
        <v>36</v>
      </c>
      <c r="C34" s="159"/>
      <c r="D34" s="120" t="s">
        <v>6</v>
      </c>
      <c r="E34" s="160">
        <v>268.39</v>
      </c>
      <c r="F34" s="121">
        <f>SUM(C34)*(E34)</f>
        <v>0</v>
      </c>
      <c r="G34" s="16">
        <f t="shared" si="1"/>
        <v>0</v>
      </c>
      <c r="H34" s="16">
        <f t="shared" si="2"/>
        <v>0</v>
      </c>
      <c r="I34" s="21">
        <f t="shared" si="3"/>
        <v>0</v>
      </c>
      <c r="L34" s="18"/>
      <c r="M34" s="18"/>
    </row>
    <row r="35" spans="1:14" s="15" customFormat="1" x14ac:dyDescent="0.2">
      <c r="A35" s="231"/>
      <c r="B35" s="39" t="s">
        <v>54</v>
      </c>
      <c r="C35" s="161">
        <f>IF(AND('Take off'!C31=116,'Take off'!F8="CertainTeed"),'Take off'!D31,0)</f>
        <v>0</v>
      </c>
      <c r="D35" s="120" t="s">
        <v>7</v>
      </c>
      <c r="E35" s="160">
        <v>61.83</v>
      </c>
      <c r="F35" s="121">
        <f t="shared" si="0"/>
        <v>0</v>
      </c>
      <c r="G35" s="16">
        <f t="shared" si="1"/>
        <v>0</v>
      </c>
      <c r="H35" s="16">
        <f t="shared" si="2"/>
        <v>0</v>
      </c>
      <c r="I35" s="21">
        <f t="shared" si="3"/>
        <v>0</v>
      </c>
    </row>
    <row r="36" spans="1:14" s="15" customFormat="1" x14ac:dyDescent="0.2">
      <c r="A36" s="231"/>
      <c r="B36" s="49" t="s">
        <v>30</v>
      </c>
      <c r="C36" s="159"/>
      <c r="D36" s="120" t="s">
        <v>7</v>
      </c>
      <c r="E36" s="121">
        <v>62</v>
      </c>
      <c r="F36" s="121">
        <f t="shared" si="0"/>
        <v>0</v>
      </c>
      <c r="G36" s="16">
        <f t="shared" si="1"/>
        <v>0</v>
      </c>
      <c r="H36" s="16">
        <f t="shared" si="2"/>
        <v>0</v>
      </c>
      <c r="I36" s="21">
        <f t="shared" si="3"/>
        <v>0</v>
      </c>
      <c r="L36" s="18"/>
      <c r="M36" s="18"/>
    </row>
    <row r="37" spans="1:14" s="15" customFormat="1" x14ac:dyDescent="0.2">
      <c r="A37" s="231"/>
      <c r="B37" s="39" t="s">
        <v>169</v>
      </c>
      <c r="C37" s="161">
        <f>IF(AND('Take off'!C29=1,'Take off'!F8="CertainTeed"),'Take off'!D29,0)</f>
        <v>0</v>
      </c>
      <c r="D37" s="120" t="s">
        <v>9</v>
      </c>
      <c r="E37" s="160">
        <v>115.41</v>
      </c>
      <c r="F37" s="121">
        <f>SUM(C37)*(E37)</f>
        <v>0</v>
      </c>
      <c r="G37" s="16">
        <f t="shared" si="1"/>
        <v>0</v>
      </c>
      <c r="H37" s="16">
        <f t="shared" si="2"/>
        <v>0</v>
      </c>
      <c r="I37" s="21">
        <f t="shared" si="3"/>
        <v>0</v>
      </c>
      <c r="L37" s="18"/>
      <c r="M37" s="18"/>
    </row>
    <row r="38" spans="1:14" s="15" customFormat="1" x14ac:dyDescent="0.2">
      <c r="A38" s="231"/>
      <c r="B38" s="39" t="s">
        <v>51</v>
      </c>
      <c r="C38" s="159"/>
      <c r="D38" s="120" t="s">
        <v>9</v>
      </c>
      <c r="E38" s="160">
        <v>103.5</v>
      </c>
      <c r="F38" s="121">
        <f>SUM(C38)*(E38)</f>
        <v>0</v>
      </c>
      <c r="G38" s="16">
        <f t="shared" si="1"/>
        <v>0</v>
      </c>
      <c r="H38" s="16">
        <f t="shared" si="2"/>
        <v>0</v>
      </c>
      <c r="I38" s="21">
        <f t="shared" si="3"/>
        <v>0</v>
      </c>
      <c r="L38" s="18"/>
      <c r="M38" s="18"/>
    </row>
    <row r="39" spans="1:14" s="15" customFormat="1" x14ac:dyDescent="0.2">
      <c r="A39" s="231"/>
      <c r="B39" s="39" t="s">
        <v>159</v>
      </c>
      <c r="C39" s="159"/>
      <c r="D39" s="120" t="s">
        <v>9</v>
      </c>
      <c r="E39" s="121">
        <v>250</v>
      </c>
      <c r="F39" s="121">
        <f>SUM(C39)*(E39)</f>
        <v>0</v>
      </c>
      <c r="G39" s="16">
        <f t="shared" si="1"/>
        <v>0</v>
      </c>
      <c r="H39" s="16">
        <f t="shared" si="2"/>
        <v>0</v>
      </c>
      <c r="I39" s="21">
        <f t="shared" si="3"/>
        <v>0</v>
      </c>
      <c r="L39" s="18"/>
      <c r="M39" s="18"/>
    </row>
    <row r="40" spans="1:14" s="15" customFormat="1" x14ac:dyDescent="0.2">
      <c r="A40" s="231"/>
      <c r="B40" s="39" t="s">
        <v>52</v>
      </c>
      <c r="C40" s="161">
        <f>IF(AND('Take off'!C30=20,'Take off'!F8="CertainTeed"), 'Take off'!D30,0)</f>
        <v>0</v>
      </c>
      <c r="D40" s="120" t="s">
        <v>7</v>
      </c>
      <c r="E40" s="160">
        <v>54</v>
      </c>
      <c r="F40" s="121">
        <f>SUM(C40)*(E40)</f>
        <v>0</v>
      </c>
      <c r="G40" s="16">
        <f t="shared" si="1"/>
        <v>0</v>
      </c>
      <c r="H40" s="16">
        <f t="shared" si="2"/>
        <v>0</v>
      </c>
      <c r="I40" s="21">
        <f t="shared" si="3"/>
        <v>0</v>
      </c>
      <c r="L40" s="18"/>
      <c r="M40" s="18"/>
    </row>
    <row r="41" spans="1:14" s="15" customFormat="1" x14ac:dyDescent="0.2">
      <c r="A41" s="231"/>
      <c r="B41" s="49" t="s">
        <v>27</v>
      </c>
      <c r="C41" s="161">
        <f>IF(AND('Take off'!C30=30,'Take off'!F8="CertainTeed"), 'Take off'!D30,0)</f>
        <v>0</v>
      </c>
      <c r="D41" s="120" t="s">
        <v>7</v>
      </c>
      <c r="E41" s="160">
        <v>74.150000000000006</v>
      </c>
      <c r="F41" s="121">
        <f t="shared" si="0"/>
        <v>0</v>
      </c>
      <c r="G41" s="16">
        <f t="shared" si="1"/>
        <v>0</v>
      </c>
      <c r="H41" s="16">
        <f t="shared" si="2"/>
        <v>0</v>
      </c>
      <c r="I41" s="21">
        <f t="shared" si="3"/>
        <v>0</v>
      </c>
      <c r="L41" s="18"/>
      <c r="M41" s="18"/>
    </row>
    <row r="42" spans="1:14" s="15" customFormat="1" ht="13.5" thickBot="1" x14ac:dyDescent="0.25">
      <c r="A42" s="231"/>
      <c r="B42" s="39" t="s">
        <v>53</v>
      </c>
      <c r="C42" s="162">
        <f>IF(AND('Take off'!C35=4,'Take off'!F8="CertainTeed"),'Take off'!D35,0)</f>
        <v>0</v>
      </c>
      <c r="D42" s="15" t="s">
        <v>17</v>
      </c>
      <c r="E42" s="160">
        <v>14.57</v>
      </c>
      <c r="F42" s="121">
        <f t="shared" si="0"/>
        <v>0</v>
      </c>
      <c r="G42" s="16">
        <f t="shared" si="1"/>
        <v>0</v>
      </c>
      <c r="H42" s="16">
        <f t="shared" si="2"/>
        <v>0</v>
      </c>
      <c r="I42" s="21">
        <f t="shared" si="3"/>
        <v>0</v>
      </c>
    </row>
    <row r="43" spans="1:14" s="15" customFormat="1" ht="12.75" customHeight="1" x14ac:dyDescent="0.2">
      <c r="A43" s="227" t="s">
        <v>29</v>
      </c>
      <c r="B43" s="148" t="s">
        <v>46</v>
      </c>
      <c r="C43" s="149">
        <v>40</v>
      </c>
      <c r="D43" s="150" t="s">
        <v>18</v>
      </c>
      <c r="E43" s="157">
        <v>12.7065</v>
      </c>
      <c r="F43" s="151">
        <f t="shared" si="0"/>
        <v>508.26</v>
      </c>
      <c r="G43" s="168">
        <f t="shared" si="1"/>
        <v>31.766249999999999</v>
      </c>
      <c r="H43" s="168">
        <f t="shared" si="2"/>
        <v>540.02625</v>
      </c>
      <c r="I43" s="169">
        <f t="shared" si="3"/>
        <v>756.03674999999998</v>
      </c>
    </row>
    <row r="44" spans="1:14" s="10" customFormat="1" ht="12.75" customHeight="1" x14ac:dyDescent="0.2">
      <c r="A44" s="228"/>
      <c r="B44" s="39" t="s">
        <v>40</v>
      </c>
      <c r="C44" s="147">
        <v>3</v>
      </c>
      <c r="D44" s="120" t="s">
        <v>19</v>
      </c>
      <c r="E44" s="160">
        <v>62.039099999999998</v>
      </c>
      <c r="F44" s="121">
        <f t="shared" ref="F44:F65" si="4">SUM(C44)*(E44)</f>
        <v>186.1173</v>
      </c>
      <c r="G44" s="16">
        <f t="shared" si="1"/>
        <v>11.63233125</v>
      </c>
      <c r="H44" s="16">
        <f t="shared" si="2"/>
        <v>197.74963124999999</v>
      </c>
      <c r="I44" s="21">
        <f t="shared" si="3"/>
        <v>276.84948374999999</v>
      </c>
      <c r="M44" s="22"/>
      <c r="N44" s="22"/>
    </row>
    <row r="45" spans="1:14" s="46" customFormat="1" ht="12.75" customHeight="1" x14ac:dyDescent="0.2">
      <c r="A45" s="228"/>
      <c r="B45" s="49" t="s">
        <v>20</v>
      </c>
      <c r="C45" s="147">
        <v>1</v>
      </c>
      <c r="D45" s="120" t="s">
        <v>6</v>
      </c>
      <c r="E45" s="160">
        <v>139.2303</v>
      </c>
      <c r="F45" s="121">
        <f t="shared" si="4"/>
        <v>139.2303</v>
      </c>
      <c r="G45" s="16">
        <f t="shared" si="1"/>
        <v>8.70189375</v>
      </c>
      <c r="H45" s="16">
        <f t="shared" si="2"/>
        <v>147.93219375000001</v>
      </c>
      <c r="I45" s="21">
        <f t="shared" si="3"/>
        <v>207.10507125000001</v>
      </c>
      <c r="N45" s="48"/>
    </row>
    <row r="46" spans="1:14" s="46" customFormat="1" ht="12.75" customHeight="1" x14ac:dyDescent="0.2">
      <c r="A46" s="228"/>
      <c r="B46" s="39" t="s">
        <v>50</v>
      </c>
      <c r="C46" s="159"/>
      <c r="D46" s="120" t="s">
        <v>6</v>
      </c>
      <c r="E46" s="160">
        <v>16</v>
      </c>
      <c r="F46" s="121">
        <f t="shared" si="4"/>
        <v>0</v>
      </c>
      <c r="G46" s="16">
        <f t="shared" si="1"/>
        <v>0</v>
      </c>
      <c r="H46" s="16">
        <f t="shared" si="2"/>
        <v>0</v>
      </c>
      <c r="I46" s="21">
        <f t="shared" ref="I46" si="5">SUM(H46)*1.4</f>
        <v>0</v>
      </c>
      <c r="N46" s="48"/>
    </row>
    <row r="47" spans="1:14" s="10" customFormat="1" x14ac:dyDescent="0.2">
      <c r="A47" s="228"/>
      <c r="B47" s="39" t="s">
        <v>192</v>
      </c>
      <c r="C47" s="147">
        <v>4</v>
      </c>
      <c r="D47" s="120" t="s">
        <v>15</v>
      </c>
      <c r="E47" s="160">
        <v>3.89</v>
      </c>
      <c r="F47" s="121">
        <f t="shared" si="4"/>
        <v>15.56</v>
      </c>
      <c r="G47" s="16">
        <f t="shared" si="1"/>
        <v>0.97250000000000003</v>
      </c>
      <c r="H47" s="16">
        <f t="shared" si="2"/>
        <v>16.532499999999999</v>
      </c>
      <c r="I47" s="21">
        <f t="shared" si="3"/>
        <v>23.145499999999998</v>
      </c>
      <c r="M47" s="22"/>
      <c r="N47" s="22"/>
    </row>
    <row r="48" spans="1:14" s="10" customFormat="1" x14ac:dyDescent="0.2">
      <c r="A48" s="228"/>
      <c r="B48" s="39" t="s">
        <v>141</v>
      </c>
      <c r="C48" s="152"/>
      <c r="D48" s="15" t="s">
        <v>15</v>
      </c>
      <c r="E48" s="160">
        <v>5.85</v>
      </c>
      <c r="F48" s="121">
        <f t="shared" si="4"/>
        <v>0</v>
      </c>
      <c r="G48" s="16">
        <f t="shared" si="1"/>
        <v>0</v>
      </c>
      <c r="H48" s="16">
        <f t="shared" si="2"/>
        <v>0</v>
      </c>
      <c r="I48" s="21">
        <f t="shared" si="3"/>
        <v>0</v>
      </c>
      <c r="M48" s="22"/>
      <c r="N48" s="22"/>
    </row>
    <row r="49" spans="1:14" s="15" customFormat="1" x14ac:dyDescent="0.2">
      <c r="A49" s="228"/>
      <c r="B49" s="49" t="s">
        <v>22</v>
      </c>
      <c r="C49" s="152"/>
      <c r="D49" s="120" t="s">
        <v>16</v>
      </c>
      <c r="E49" s="121">
        <v>8.42</v>
      </c>
      <c r="F49" s="121">
        <f t="shared" si="4"/>
        <v>0</v>
      </c>
      <c r="G49" s="16">
        <f t="shared" si="1"/>
        <v>0</v>
      </c>
      <c r="H49" s="16">
        <f t="shared" si="2"/>
        <v>0</v>
      </c>
      <c r="I49" s="21">
        <f t="shared" si="3"/>
        <v>0</v>
      </c>
      <c r="M49" s="18"/>
      <c r="N49" s="18"/>
    </row>
    <row r="50" spans="1:14" s="15" customFormat="1" x14ac:dyDescent="0.2">
      <c r="A50" s="228"/>
      <c r="B50" s="49" t="s">
        <v>21</v>
      </c>
      <c r="C50" s="147">
        <v>1</v>
      </c>
      <c r="D50" s="120" t="s">
        <v>16</v>
      </c>
      <c r="E50" s="160">
        <v>12.8725</v>
      </c>
      <c r="F50" s="121">
        <f t="shared" si="4"/>
        <v>12.8725</v>
      </c>
      <c r="G50" s="16">
        <f t="shared" si="1"/>
        <v>0.80453125000000003</v>
      </c>
      <c r="H50" s="16">
        <f t="shared" si="2"/>
        <v>13.677031250000001</v>
      </c>
      <c r="I50" s="21">
        <f t="shared" si="3"/>
        <v>19.14784375</v>
      </c>
      <c r="M50" s="18"/>
      <c r="N50" s="18"/>
    </row>
    <row r="51" spans="1:14" s="15" customFormat="1" x14ac:dyDescent="0.2">
      <c r="A51" s="228"/>
      <c r="B51" s="39" t="s">
        <v>157</v>
      </c>
      <c r="C51" s="152"/>
      <c r="D51" s="15" t="s">
        <v>16</v>
      </c>
      <c r="E51" s="121">
        <v>25</v>
      </c>
      <c r="F51" s="121">
        <f t="shared" si="4"/>
        <v>0</v>
      </c>
      <c r="G51" s="16">
        <f t="shared" si="1"/>
        <v>0</v>
      </c>
      <c r="H51" s="16">
        <f t="shared" si="2"/>
        <v>0</v>
      </c>
      <c r="I51" s="21">
        <f t="shared" si="3"/>
        <v>0</v>
      </c>
      <c r="M51" s="18"/>
      <c r="N51" s="18"/>
    </row>
    <row r="52" spans="1:14" s="15" customFormat="1" x14ac:dyDescent="0.2">
      <c r="A52" s="228"/>
      <c r="B52" s="39" t="s">
        <v>191</v>
      </c>
      <c r="C52" s="152">
        <v>2</v>
      </c>
      <c r="D52" s="15" t="s">
        <v>8</v>
      </c>
      <c r="E52" s="160">
        <v>15.0932</v>
      </c>
      <c r="F52" s="121">
        <f t="shared" si="4"/>
        <v>30.186399999999999</v>
      </c>
      <c r="G52" s="16">
        <f t="shared" si="1"/>
        <v>1.8866499999999999</v>
      </c>
      <c r="H52" s="16">
        <f t="shared" si="2"/>
        <v>32.073050000000002</v>
      </c>
      <c r="I52" s="21">
        <f t="shared" si="3"/>
        <v>44.902270000000001</v>
      </c>
      <c r="M52" s="18"/>
      <c r="N52" s="18"/>
    </row>
    <row r="53" spans="1:14" s="10" customFormat="1" x14ac:dyDescent="0.2">
      <c r="A53" s="228"/>
      <c r="B53" s="39" t="s">
        <v>140</v>
      </c>
      <c r="C53" s="161">
        <f>'Take off'!D34</f>
        <v>2</v>
      </c>
      <c r="D53" s="120" t="s">
        <v>8</v>
      </c>
      <c r="E53" s="160">
        <v>71.882999999999996</v>
      </c>
      <c r="F53" s="121">
        <f t="shared" si="4"/>
        <v>143.76599999999999</v>
      </c>
      <c r="G53" s="16">
        <f t="shared" si="1"/>
        <v>8.9853749999999994</v>
      </c>
      <c r="H53" s="16">
        <f t="shared" si="2"/>
        <v>152.751375</v>
      </c>
      <c r="I53" s="21">
        <f t="shared" si="3"/>
        <v>213.85192499999999</v>
      </c>
      <c r="M53" s="22"/>
      <c r="N53" s="22"/>
    </row>
    <row r="54" spans="1:14" s="15" customFormat="1" ht="12.75" customHeight="1" x14ac:dyDescent="0.2">
      <c r="A54" s="228"/>
      <c r="B54" s="39" t="s">
        <v>41</v>
      </c>
      <c r="C54" s="170">
        <v>90</v>
      </c>
      <c r="D54" s="120" t="s">
        <v>33</v>
      </c>
      <c r="E54" s="160">
        <v>30</v>
      </c>
      <c r="F54" s="121">
        <f>SUM(C54)*(E54)</f>
        <v>2700</v>
      </c>
      <c r="G54" s="16">
        <f t="shared" si="1"/>
        <v>168.75</v>
      </c>
      <c r="H54" s="16">
        <f t="shared" si="2"/>
        <v>2868.75</v>
      </c>
      <c r="I54" s="21">
        <f t="shared" si="3"/>
        <v>4016.2499999999995</v>
      </c>
    </row>
    <row r="55" spans="1:14" s="15" customFormat="1" x14ac:dyDescent="0.2">
      <c r="A55" s="228"/>
      <c r="B55" s="39" t="s">
        <v>49</v>
      </c>
      <c r="C55" s="170">
        <v>1</v>
      </c>
      <c r="D55" s="15" t="s">
        <v>173</v>
      </c>
      <c r="E55" s="160">
        <v>147.46</v>
      </c>
      <c r="F55" s="121">
        <f>SUM(C55)*(E55)</f>
        <v>147.46</v>
      </c>
      <c r="G55" s="16">
        <f t="shared" si="1"/>
        <v>9.2162500000000005</v>
      </c>
      <c r="H55" s="16">
        <f t="shared" si="2"/>
        <v>156.67625000000001</v>
      </c>
      <c r="I55" s="21">
        <f t="shared" si="3"/>
        <v>219.34675000000001</v>
      </c>
    </row>
    <row r="56" spans="1:14" s="15" customFormat="1" x14ac:dyDescent="0.2">
      <c r="A56" s="228"/>
      <c r="B56" s="39" t="s">
        <v>154</v>
      </c>
      <c r="C56" s="170"/>
      <c r="D56" s="15" t="s">
        <v>17</v>
      </c>
      <c r="E56" s="160">
        <v>43.91</v>
      </c>
      <c r="F56" s="121">
        <f t="shared" si="4"/>
        <v>0</v>
      </c>
      <c r="G56" s="16">
        <f t="shared" si="1"/>
        <v>0</v>
      </c>
      <c r="H56" s="16">
        <f t="shared" si="2"/>
        <v>0</v>
      </c>
      <c r="I56" s="21">
        <f t="shared" si="3"/>
        <v>0</v>
      </c>
    </row>
    <row r="57" spans="1:14" s="15" customFormat="1" ht="13.5" thickBot="1" x14ac:dyDescent="0.25">
      <c r="A57" s="229"/>
      <c r="B57" s="164" t="s">
        <v>155</v>
      </c>
      <c r="C57" s="181">
        <v>4</v>
      </c>
      <c r="D57" s="165" t="s">
        <v>17</v>
      </c>
      <c r="E57" s="163">
        <v>26.09</v>
      </c>
      <c r="F57" s="52">
        <f t="shared" si="4"/>
        <v>104.36</v>
      </c>
      <c r="G57" s="166">
        <f t="shared" si="1"/>
        <v>6.5225</v>
      </c>
      <c r="H57" s="166">
        <f t="shared" si="2"/>
        <v>110.88249999999999</v>
      </c>
      <c r="I57" s="167">
        <f t="shared" si="3"/>
        <v>155.23549999999997</v>
      </c>
    </row>
    <row r="58" spans="1:14" s="46" customFormat="1" x14ac:dyDescent="0.2">
      <c r="A58" s="238" t="s">
        <v>31</v>
      </c>
      <c r="B58" s="148"/>
      <c r="C58" s="150"/>
      <c r="D58" s="182"/>
      <c r="E58" s="151"/>
      <c r="F58" s="151">
        <f t="shared" ref="F58:F64" si="6">SUM(C58)*(E58)</f>
        <v>0</v>
      </c>
      <c r="G58" s="168">
        <f t="shared" si="1"/>
        <v>0</v>
      </c>
      <c r="H58" s="168">
        <f t="shared" si="2"/>
        <v>0</v>
      </c>
      <c r="I58" s="169">
        <f t="shared" si="3"/>
        <v>0</v>
      </c>
    </row>
    <row r="59" spans="1:14" s="46" customFormat="1" x14ac:dyDescent="0.2">
      <c r="A59" s="239"/>
      <c r="B59" s="39"/>
      <c r="C59" s="120"/>
      <c r="D59" s="15"/>
      <c r="E59" s="121"/>
      <c r="F59" s="121">
        <f t="shared" si="6"/>
        <v>0</v>
      </c>
      <c r="G59" s="16">
        <f t="shared" si="1"/>
        <v>0</v>
      </c>
      <c r="H59" s="16">
        <f t="shared" si="2"/>
        <v>0</v>
      </c>
      <c r="I59" s="21">
        <f t="shared" si="3"/>
        <v>0</v>
      </c>
    </row>
    <row r="60" spans="1:14" s="46" customFormat="1" x14ac:dyDescent="0.2">
      <c r="A60" s="239"/>
      <c r="B60" s="39"/>
      <c r="C60" s="120"/>
      <c r="D60" s="15"/>
      <c r="E60" s="121"/>
      <c r="F60" s="121">
        <f t="shared" ref="F60:F61" si="7">SUM(C60)*(E60)</f>
        <v>0</v>
      </c>
      <c r="G60" s="16">
        <f t="shared" ref="G60:G61" si="8">SUM(F60)*0.0625</f>
        <v>0</v>
      </c>
      <c r="H60" s="16">
        <f t="shared" si="2"/>
        <v>0</v>
      </c>
      <c r="I60" s="21">
        <f t="shared" si="3"/>
        <v>0</v>
      </c>
    </row>
    <row r="61" spans="1:14" s="46" customFormat="1" x14ac:dyDescent="0.2">
      <c r="A61" s="239"/>
      <c r="B61" s="39"/>
      <c r="C61" s="120"/>
      <c r="D61" s="15"/>
      <c r="E61" s="121"/>
      <c r="F61" s="121">
        <f t="shared" si="7"/>
        <v>0</v>
      </c>
      <c r="G61" s="16">
        <f t="shared" si="8"/>
        <v>0</v>
      </c>
      <c r="H61" s="16">
        <f t="shared" si="2"/>
        <v>0</v>
      </c>
      <c r="I61" s="21">
        <f t="shared" si="3"/>
        <v>0</v>
      </c>
    </row>
    <row r="62" spans="1:14" s="46" customFormat="1" x14ac:dyDescent="0.2">
      <c r="A62" s="239"/>
      <c r="B62" s="39"/>
      <c r="C62" s="120"/>
      <c r="D62" s="15"/>
      <c r="E62" s="121"/>
      <c r="F62" s="121">
        <f t="shared" si="6"/>
        <v>0</v>
      </c>
      <c r="G62" s="16">
        <f t="shared" si="1"/>
        <v>0</v>
      </c>
      <c r="H62" s="16">
        <f t="shared" si="2"/>
        <v>0</v>
      </c>
      <c r="I62" s="21">
        <f t="shared" si="3"/>
        <v>0</v>
      </c>
    </row>
    <row r="63" spans="1:14" s="46" customFormat="1" x14ac:dyDescent="0.2">
      <c r="A63" s="239"/>
      <c r="B63" s="39"/>
      <c r="C63" s="120"/>
      <c r="D63" s="15"/>
      <c r="E63" s="121"/>
      <c r="F63" s="121">
        <f t="shared" si="6"/>
        <v>0</v>
      </c>
      <c r="G63" s="16">
        <f t="shared" si="1"/>
        <v>0</v>
      </c>
      <c r="H63" s="16">
        <f t="shared" si="2"/>
        <v>0</v>
      </c>
      <c r="I63" s="21">
        <f t="shared" si="3"/>
        <v>0</v>
      </c>
    </row>
    <row r="64" spans="1:14" s="15" customFormat="1" x14ac:dyDescent="0.2">
      <c r="A64" s="239"/>
      <c r="B64" s="39"/>
      <c r="C64" s="120"/>
      <c r="D64" s="120"/>
      <c r="E64" s="121"/>
      <c r="F64" s="121">
        <f t="shared" si="6"/>
        <v>0</v>
      </c>
      <c r="G64" s="16">
        <f t="shared" si="1"/>
        <v>0</v>
      </c>
      <c r="H64" s="16">
        <f t="shared" si="2"/>
        <v>0</v>
      </c>
      <c r="I64" s="21">
        <f t="shared" si="3"/>
        <v>0</v>
      </c>
    </row>
    <row r="65" spans="1:14" s="15" customFormat="1" ht="13.5" thickBot="1" x14ac:dyDescent="0.25">
      <c r="A65" s="240"/>
      <c r="B65" s="50"/>
      <c r="C65" s="51"/>
      <c r="D65" s="51"/>
      <c r="E65" s="52"/>
      <c r="F65" s="52">
        <f t="shared" si="4"/>
        <v>0</v>
      </c>
      <c r="G65" s="166">
        <f t="shared" si="1"/>
        <v>0</v>
      </c>
      <c r="H65" s="166">
        <f t="shared" si="2"/>
        <v>0</v>
      </c>
      <c r="I65" s="167">
        <f t="shared" si="3"/>
        <v>0</v>
      </c>
      <c r="M65" s="18"/>
      <c r="N65" s="18"/>
    </row>
    <row r="66" spans="1:14" s="15" customFormat="1" ht="13.5" thickBot="1" x14ac:dyDescent="0.25">
      <c r="A66" s="183"/>
      <c r="B66" s="39"/>
      <c r="D66" s="32" t="s">
        <v>34</v>
      </c>
      <c r="E66" s="19"/>
      <c r="F66" s="19">
        <f>SUM(F14:F65)*0.02</f>
        <v>194.27397199999999</v>
      </c>
      <c r="H66" s="16"/>
      <c r="I66" s="21"/>
      <c r="M66" s="18"/>
      <c r="N66" s="18"/>
    </row>
    <row r="67" spans="1:14" ht="13.5" thickBot="1" x14ac:dyDescent="0.25">
      <c r="A67" s="173" t="s">
        <v>121</v>
      </c>
      <c r="B67" s="173" t="s">
        <v>23</v>
      </c>
      <c r="C67" s="105"/>
      <c r="D67" s="14" t="s">
        <v>13</v>
      </c>
      <c r="E67" s="5"/>
      <c r="F67" s="5">
        <f>SUM(F14:F66)</f>
        <v>9907.9725720000006</v>
      </c>
      <c r="G67" s="5">
        <f>IFERROR(F67/B11,0)</f>
        <v>3.6696194711111114</v>
      </c>
      <c r="H67" s="10" t="s">
        <v>37</v>
      </c>
      <c r="I67" s="31"/>
      <c r="M67" s="1"/>
      <c r="N67" s="1"/>
    </row>
    <row r="68" spans="1:14" x14ac:dyDescent="0.2">
      <c r="A68" s="103" t="str">
        <f>IF($A$77="Yes","No",IF(AND('Take off'!$D$8=0,'Take off'!$B$8&lt;8),"Yes","No"))</f>
        <v>No</v>
      </c>
      <c r="B68" s="104" t="s">
        <v>55</v>
      </c>
      <c r="C68" s="105">
        <v>75</v>
      </c>
      <c r="D68" s="14" t="s">
        <v>58</v>
      </c>
      <c r="E68" s="5"/>
      <c r="F68" s="5">
        <f>IF(G68="Taxable",(SUM(F67)*0.0625),0)</f>
        <v>619.24828575000004</v>
      </c>
      <c r="G68" s="142" t="s">
        <v>150</v>
      </c>
      <c r="I68" s="31"/>
      <c r="K68" s="100">
        <f>IF(OR(A68="y",A68="yes"),C68,0)</f>
        <v>0</v>
      </c>
      <c r="M68" s="1"/>
      <c r="N68" s="1"/>
    </row>
    <row r="69" spans="1:14" ht="13.5" thickBot="1" x14ac:dyDescent="0.25">
      <c r="A69" s="102" t="str">
        <f>IF($A$77="Yes","No",IF(AND('Take off'!$D$8=0,'Take off'!$B$8&gt;=8),"Yes","No"))</f>
        <v>No</v>
      </c>
      <c r="B69" s="66" t="s">
        <v>64</v>
      </c>
      <c r="C69" s="106">
        <v>85</v>
      </c>
      <c r="D69" s="32" t="s">
        <v>195</v>
      </c>
      <c r="E69" s="19"/>
      <c r="F69" s="99">
        <v>265</v>
      </c>
      <c r="I69" s="9"/>
      <c r="K69" s="100">
        <f t="shared" ref="K69:K77" si="9">IF(OR(A69="y",A69="yes"),C69,0)</f>
        <v>0</v>
      </c>
      <c r="M69" s="1"/>
      <c r="N69" s="1"/>
    </row>
    <row r="70" spans="1:14" ht="13.5" thickBot="1" x14ac:dyDescent="0.25">
      <c r="A70" s="64"/>
      <c r="B70" s="65"/>
      <c r="C70" s="106"/>
      <c r="D70" s="63" t="s">
        <v>4</v>
      </c>
      <c r="E70" s="97">
        <f>MAX(K68:K77)</f>
        <v>235</v>
      </c>
      <c r="F70" s="5">
        <f>((C22+C23+(C24/3)+C25+C37+C38+C39+((C19+C20+C26+C27+C35+C36+C40+C41)/5))*E70)+C78</f>
        <v>7520</v>
      </c>
      <c r="G70" s="14" t="s">
        <v>152</v>
      </c>
      <c r="I70" s="31"/>
      <c r="K70" s="100">
        <f t="shared" si="9"/>
        <v>0</v>
      </c>
      <c r="M70" s="1"/>
      <c r="N70" s="1"/>
    </row>
    <row r="71" spans="1:14" s="10" customFormat="1" x14ac:dyDescent="0.2">
      <c r="A71" s="103" t="str">
        <f>IF($A$77="Yes","No",IF(AND('Take off'!$D$8=1,'Take off'!$B$8&lt;8),"Yes","No"))</f>
        <v>No</v>
      </c>
      <c r="B71" s="104" t="s">
        <v>56</v>
      </c>
      <c r="C71" s="106">
        <v>130</v>
      </c>
      <c r="D71" s="55" t="s">
        <v>196</v>
      </c>
      <c r="E71" s="56">
        <v>30</v>
      </c>
      <c r="F71" s="56">
        <v>2700</v>
      </c>
      <c r="I71" s="40"/>
      <c r="K71" s="100">
        <f t="shared" si="9"/>
        <v>0</v>
      </c>
      <c r="M71" s="22"/>
      <c r="N71" s="22"/>
    </row>
    <row r="72" spans="1:14" s="10" customFormat="1" ht="13.5" thickBot="1" x14ac:dyDescent="0.25">
      <c r="A72" s="102" t="str">
        <f>IF($A$77="Yes","No",IF(AND('Take off'!$D$8=1,'Take off'!$B$8&gt;=8),"Yes","No"))</f>
        <v>No</v>
      </c>
      <c r="B72" s="66" t="s">
        <v>63</v>
      </c>
      <c r="C72" s="106">
        <v>140</v>
      </c>
      <c r="D72" s="32" t="s">
        <v>32</v>
      </c>
      <c r="E72" s="19"/>
      <c r="F72" s="19">
        <v>0</v>
      </c>
      <c r="I72" s="40"/>
      <c r="K72" s="100">
        <f t="shared" si="9"/>
        <v>0</v>
      </c>
      <c r="M72" s="22"/>
      <c r="N72" s="22"/>
    </row>
    <row r="73" spans="1:14" s="10" customFormat="1" ht="13.5" thickBot="1" x14ac:dyDescent="0.25">
      <c r="A73" s="64"/>
      <c r="B73" s="64"/>
      <c r="C73" s="106"/>
      <c r="D73" s="32" t="s">
        <v>144</v>
      </c>
      <c r="E73" s="19"/>
      <c r="F73" s="19">
        <v>0</v>
      </c>
      <c r="G73"/>
      <c r="H73"/>
      <c r="I73" s="9"/>
      <c r="K73" s="100">
        <f t="shared" si="9"/>
        <v>0</v>
      </c>
      <c r="M73" s="22"/>
      <c r="N73" s="22"/>
    </row>
    <row r="74" spans="1:14" s="10" customFormat="1" x14ac:dyDescent="0.2">
      <c r="A74" s="103" t="s">
        <v>167</v>
      </c>
      <c r="B74" s="104" t="s">
        <v>57</v>
      </c>
      <c r="C74" s="106">
        <v>150</v>
      </c>
      <c r="D74" s="36" t="s">
        <v>149</v>
      </c>
      <c r="E74" s="172" t="s">
        <v>167</v>
      </c>
      <c r="F74" s="28">
        <f>IF(E74="Yes",500,0)</f>
        <v>0</v>
      </c>
      <c r="G74" s="27"/>
      <c r="H74" s="27"/>
      <c r="I74" s="29"/>
      <c r="K74" s="100">
        <f t="shared" si="9"/>
        <v>0</v>
      </c>
      <c r="M74" s="22"/>
      <c r="N74" s="22"/>
    </row>
    <row r="75" spans="1:14" ht="13.5" thickBot="1" x14ac:dyDescent="0.25">
      <c r="A75" s="102" t="s">
        <v>187</v>
      </c>
      <c r="B75" s="66" t="s">
        <v>193</v>
      </c>
      <c r="C75" s="106">
        <v>235</v>
      </c>
      <c r="D75" s="32" t="s">
        <v>147</v>
      </c>
      <c r="E75" s="19"/>
      <c r="F75" s="19">
        <f>(A80*C80)+(A81*C81)+(A82*C82)+(A83*C83)</f>
        <v>1700</v>
      </c>
      <c r="G75" s="15"/>
      <c r="H75" s="15"/>
      <c r="I75" s="17"/>
      <c r="K75" s="100">
        <f t="shared" si="9"/>
        <v>235</v>
      </c>
      <c r="M75" s="1"/>
      <c r="N75" s="1"/>
    </row>
    <row r="76" spans="1:14" ht="13.5" thickBot="1" x14ac:dyDescent="0.25">
      <c r="A76" s="64"/>
      <c r="B76" s="64"/>
      <c r="C76" s="106"/>
      <c r="D76" s="32" t="s">
        <v>148</v>
      </c>
      <c r="E76" s="19"/>
      <c r="F76" s="19">
        <v>0</v>
      </c>
      <c r="G76" s="67"/>
      <c r="H76" s="10"/>
      <c r="I76" s="40"/>
      <c r="K76" s="100">
        <f t="shared" si="9"/>
        <v>0</v>
      </c>
      <c r="M76" s="1"/>
      <c r="N76" s="1"/>
    </row>
    <row r="77" spans="1:14" ht="13.5" thickBot="1" x14ac:dyDescent="0.25">
      <c r="A77" s="184" t="str">
        <f>IF(C77&gt;0,"Yes","No")</f>
        <v>No</v>
      </c>
      <c r="B77" s="185" t="s">
        <v>129</v>
      </c>
      <c r="C77" s="107">
        <v>0</v>
      </c>
      <c r="D77" s="36" t="s">
        <v>151</v>
      </c>
      <c r="E77" s="172" t="s">
        <v>182</v>
      </c>
      <c r="F77" s="28">
        <f>IF($E$77="GAF System Plus",80,IF($E$77="GAF Golden Pledge",ROUNDUP(($B$11*1.15/100),0)*11,IF($E$77="CertainTeed 3 Star",ROUNDUP(($B$11*1.15/100),0)*2,IF($E$77="CertainTeed 5 Star",ROUNDUP(($B$11*1.15/100),0)*10,0))))</f>
        <v>352</v>
      </c>
      <c r="G77" s="27"/>
      <c r="H77" s="27"/>
      <c r="I77" s="57">
        <f>F77*1.4</f>
        <v>492.79999999999995</v>
      </c>
      <c r="K77" s="100">
        <f t="shared" si="9"/>
        <v>0</v>
      </c>
      <c r="M77" s="1"/>
      <c r="N77" s="1"/>
    </row>
    <row r="78" spans="1:14" s="10" customFormat="1" ht="13.5" thickBot="1" x14ac:dyDescent="0.25">
      <c r="A78" s="64"/>
      <c r="B78" s="66" t="s">
        <v>130</v>
      </c>
      <c r="C78" s="107">
        <v>0</v>
      </c>
      <c r="D78" s="36"/>
      <c r="E78" s="19"/>
      <c r="F78" s="28"/>
      <c r="G78" s="27"/>
      <c r="H78" s="27"/>
      <c r="I78" s="57"/>
      <c r="K78" s="27"/>
    </row>
    <row r="79" spans="1:14" s="27" customFormat="1" ht="13.5" thickBot="1" x14ac:dyDescent="0.25">
      <c r="A79" s="174" t="s">
        <v>122</v>
      </c>
      <c r="B79" s="174" t="s">
        <v>147</v>
      </c>
      <c r="C79" s="196" t="s">
        <v>174</v>
      </c>
      <c r="D79" s="63" t="s">
        <v>184</v>
      </c>
      <c r="E79" s="19"/>
      <c r="F79" s="54">
        <f>SUM(F67:F78)</f>
        <v>23064.220857749999</v>
      </c>
      <c r="G79" s="19">
        <f>IFERROR(SUM(F79/B11),0)</f>
        <v>8.5423040213888886</v>
      </c>
      <c r="H79" s="10" t="s">
        <v>37</v>
      </c>
      <c r="I79" s="40"/>
    </row>
    <row r="80" spans="1:14" s="27" customFormat="1" x14ac:dyDescent="0.2">
      <c r="A80" s="103">
        <f>IF(AND(('Take off'!D11/100)*'Take off'!D8&lt;=25,('Take off'!D11/100)*'Take off'!D8&gt;0),1,0)</f>
        <v>0</v>
      </c>
      <c r="B80" s="104" t="s">
        <v>177</v>
      </c>
      <c r="C80" s="106">
        <f>IF($C$79="Central MA",575,625)</f>
        <v>625</v>
      </c>
      <c r="D80" s="32"/>
      <c r="E80" s="19"/>
      <c r="F80" s="54"/>
      <c r="G80" s="19"/>
      <c r="H80" s="10"/>
      <c r="I80" s="40"/>
    </row>
    <row r="81" spans="1:14" s="27" customFormat="1" x14ac:dyDescent="0.2">
      <c r="A81" s="197">
        <v>2</v>
      </c>
      <c r="B81" s="64" t="s">
        <v>175</v>
      </c>
      <c r="C81" s="106">
        <f>IF($C$79="Central MA",650,850)</f>
        <v>850</v>
      </c>
      <c r="D81" s="32"/>
      <c r="E81" s="19"/>
      <c r="F81" s="54"/>
      <c r="G81" s="19"/>
      <c r="H81" s="10"/>
      <c r="I81" s="40"/>
    </row>
    <row r="82" spans="1:14" s="27" customFormat="1" x14ac:dyDescent="0.2">
      <c r="A82" s="197">
        <v>0</v>
      </c>
      <c r="B82" s="64" t="s">
        <v>176</v>
      </c>
      <c r="C82" s="106">
        <f>IF($C$79="Central MA",750,950)</f>
        <v>950</v>
      </c>
      <c r="D82" s="32"/>
      <c r="E82" s="19"/>
      <c r="F82" s="54"/>
      <c r="G82" s="19"/>
      <c r="H82" s="10"/>
      <c r="I82" s="40"/>
      <c r="K82" s="15"/>
    </row>
    <row r="83" spans="1:14" s="27" customFormat="1" ht="13.5" thickBot="1" x14ac:dyDescent="0.25">
      <c r="A83" s="102">
        <v>0</v>
      </c>
      <c r="B83" s="66" t="s">
        <v>178</v>
      </c>
      <c r="C83" s="106">
        <f>IF($C$79="Central MA",130,130)</f>
        <v>130</v>
      </c>
      <c r="D83" s="235" t="s">
        <v>5</v>
      </c>
      <c r="E83" s="235"/>
      <c r="F83" s="68">
        <f>SUM(F79)*1.4</f>
        <v>32289.909200849997</v>
      </c>
      <c r="G83" s="141">
        <f>IFERROR(SUM(F83/B11),0)</f>
        <v>11.959225629944443</v>
      </c>
      <c r="H83" s="70" t="s">
        <v>37</v>
      </c>
      <c r="I83" s="69" t="s">
        <v>145</v>
      </c>
      <c r="K83" s="10"/>
    </row>
    <row r="84" spans="1:14" s="15" customFormat="1" ht="13.5" thickBot="1" x14ac:dyDescent="0.25">
      <c r="A84" s="173" t="s">
        <v>161</v>
      </c>
      <c r="B84" s="173" t="s">
        <v>162</v>
      </c>
      <c r="C84" s="1"/>
      <c r="D84" s="236"/>
      <c r="E84" s="236"/>
      <c r="F84" s="137"/>
      <c r="G84" s="138"/>
      <c r="H84" s="139"/>
      <c r="I84" s="140"/>
      <c r="K84"/>
    </row>
    <row r="85" spans="1:14" s="10" customFormat="1" ht="13.5" thickBot="1" x14ac:dyDescent="0.25">
      <c r="A85" s="180" t="s">
        <v>188</v>
      </c>
      <c r="B85" s="66" t="s">
        <v>163</v>
      </c>
      <c r="C85" s="179"/>
      <c r="D85" s="237" t="s">
        <v>42</v>
      </c>
      <c r="E85" s="237"/>
      <c r="F85" s="175">
        <f>SUM(F79)*1.37</f>
        <v>31597.982575117501</v>
      </c>
      <c r="G85" s="176">
        <f>IFERROR(SUM(F85/B11),0)</f>
        <v>11.702956509302778</v>
      </c>
      <c r="H85" s="177" t="s">
        <v>37</v>
      </c>
      <c r="I85" s="178" t="s">
        <v>146</v>
      </c>
      <c r="K85"/>
    </row>
    <row r="86" spans="1:14" x14ac:dyDescent="0.2">
      <c r="B86" s="14"/>
      <c r="C86" s="1"/>
      <c r="D86" s="14"/>
      <c r="E86" s="5"/>
      <c r="F86" s="6"/>
      <c r="G86" s="5"/>
      <c r="H86" s="10"/>
      <c r="M86" s="1"/>
      <c r="N86" s="1"/>
    </row>
    <row r="87" spans="1:14" hidden="1" outlineLevel="1" x14ac:dyDescent="0.2">
      <c r="B87" s="14"/>
      <c r="C87" s="1"/>
      <c r="D87" s="14"/>
      <c r="E87" s="5"/>
      <c r="F87" s="6"/>
      <c r="G87" s="5"/>
      <c r="H87" s="10"/>
      <c r="M87" s="1"/>
      <c r="N87" s="1"/>
    </row>
    <row r="88" spans="1:14" hidden="1" outlineLevel="1" x14ac:dyDescent="0.2">
      <c r="B88" s="14" t="s">
        <v>61</v>
      </c>
      <c r="C88" s="1">
        <v>3.25</v>
      </c>
      <c r="D88" s="45" t="s">
        <v>62</v>
      </c>
      <c r="E88" s="5"/>
      <c r="F88" s="6">
        <f>IF(F83=0,0,F83*(C88/100)+4.32)</f>
        <v>1053.7420490276249</v>
      </c>
      <c r="G88" s="5"/>
      <c r="H88" s="10"/>
      <c r="M88" s="1"/>
      <c r="N88" s="1"/>
    </row>
    <row r="89" spans="1:14" hidden="1" outlineLevel="1" x14ac:dyDescent="0.2">
      <c r="C89" s="143"/>
      <c r="D89" s="144" t="s">
        <v>60</v>
      </c>
      <c r="E89" s="145"/>
      <c r="F89" s="146">
        <f>F83+F88</f>
        <v>33343.651249877621</v>
      </c>
      <c r="G89" s="5"/>
      <c r="H89" s="10"/>
      <c r="M89" s="1"/>
      <c r="N89" s="1"/>
    </row>
    <row r="90" spans="1:14" hidden="1" outlineLevel="1" x14ac:dyDescent="0.2">
      <c r="A90" s="34" t="s">
        <v>128</v>
      </c>
      <c r="B90" s="34"/>
      <c r="C90" s="1"/>
      <c r="E90" s="5"/>
      <c r="F90" s="5"/>
      <c r="M90" s="1"/>
      <c r="N90" s="1"/>
    </row>
    <row r="91" spans="1:14" hidden="1" outlineLevel="1" x14ac:dyDescent="0.2">
      <c r="C91" s="232" t="s">
        <v>45</v>
      </c>
      <c r="D91" s="58" t="s">
        <v>44</v>
      </c>
      <c r="E91" s="59"/>
      <c r="F91" s="59">
        <f>((F79*1.45)-(F75+F68))*0.0635</f>
        <v>1976.3658693322061</v>
      </c>
      <c r="G91" s="8"/>
      <c r="M91" s="1"/>
      <c r="N91" s="1"/>
    </row>
    <row r="92" spans="1:14" hidden="1" outlineLevel="1" x14ac:dyDescent="0.2">
      <c r="C92" s="233"/>
      <c r="D92" s="14"/>
      <c r="E92" s="5"/>
      <c r="F92" s="5"/>
      <c r="G92" s="9"/>
      <c r="M92" s="1"/>
      <c r="N92" s="1"/>
    </row>
    <row r="93" spans="1:14" ht="13.5" hidden="1" outlineLevel="1" thickBot="1" x14ac:dyDescent="0.25">
      <c r="C93" s="234"/>
      <c r="D93" s="60" t="s">
        <v>43</v>
      </c>
      <c r="E93" s="61"/>
      <c r="F93" s="61">
        <f>F85+F91</f>
        <v>33574.348444449708</v>
      </c>
      <c r="G93" s="62">
        <f>IFERROR(F93/B11,0)</f>
        <v>12.434943868314706</v>
      </c>
      <c r="H93" s="10" t="s">
        <v>37</v>
      </c>
      <c r="M93" s="1"/>
      <c r="N93" s="1"/>
    </row>
    <row r="94" spans="1:14" collapsed="1" x14ac:dyDescent="0.2">
      <c r="C94" s="98" t="s">
        <v>105</v>
      </c>
      <c r="D94" s="14"/>
      <c r="E94" s="5"/>
      <c r="F94" s="5"/>
      <c r="I94" s="10"/>
      <c r="M94" s="1"/>
      <c r="N94" s="1"/>
    </row>
    <row r="95" spans="1:14" x14ac:dyDescent="0.2">
      <c r="C95" s="1"/>
      <c r="E95" s="5"/>
      <c r="F95" s="5"/>
      <c r="M95" s="1"/>
      <c r="N95" s="1"/>
    </row>
    <row r="96" spans="1:14" x14ac:dyDescent="0.2">
      <c r="B96" s="63"/>
      <c r="C96" s="122"/>
      <c r="D96" s="120"/>
      <c r="E96" s="121"/>
      <c r="F96" s="121"/>
      <c r="M96" s="1"/>
      <c r="N96" s="1"/>
    </row>
    <row r="97" spans="2:14" x14ac:dyDescent="0.2">
      <c r="B97" s="123"/>
      <c r="C97" s="124"/>
      <c r="D97" s="123"/>
      <c r="E97" s="125"/>
      <c r="F97" s="125"/>
      <c r="M97" s="1"/>
      <c r="N97" s="1"/>
    </row>
    <row r="98" spans="2:14" x14ac:dyDescent="0.2">
      <c r="B98" s="126"/>
      <c r="C98" s="127"/>
      <c r="D98" s="126"/>
      <c r="E98" s="128"/>
      <c r="F98" s="128"/>
      <c r="M98" s="1"/>
      <c r="N98" s="1"/>
    </row>
    <row r="99" spans="2:14" x14ac:dyDescent="0.2">
      <c r="B99" s="120"/>
      <c r="C99" s="122"/>
      <c r="D99" s="120"/>
      <c r="E99" s="121"/>
      <c r="F99" s="121"/>
      <c r="M99" s="1"/>
      <c r="N99" s="1"/>
    </row>
    <row r="100" spans="2:14" x14ac:dyDescent="0.2">
      <c r="B100" s="120"/>
      <c r="C100" s="122"/>
      <c r="D100" s="120"/>
      <c r="E100" s="121"/>
      <c r="F100" s="121"/>
      <c r="M100" s="1"/>
      <c r="N100" s="1"/>
    </row>
    <row r="101" spans="2:14" x14ac:dyDescent="0.2">
      <c r="B101" s="120"/>
      <c r="C101" s="122"/>
      <c r="D101" s="120"/>
      <c r="E101" s="121"/>
      <c r="F101" s="121"/>
      <c r="M101" s="1"/>
      <c r="N101" s="1"/>
    </row>
    <row r="102" spans="2:14" x14ac:dyDescent="0.2">
      <c r="B102" s="120"/>
      <c r="C102" s="122"/>
      <c r="D102" s="120"/>
      <c r="E102" s="121"/>
      <c r="F102" s="121"/>
      <c r="M102" s="1"/>
      <c r="N102" s="1"/>
    </row>
    <row r="103" spans="2:14" x14ac:dyDescent="0.2">
      <c r="B103" s="120"/>
      <c r="C103" s="122"/>
      <c r="D103" s="120"/>
      <c r="E103" s="121"/>
      <c r="F103" s="121"/>
      <c r="M103" s="1"/>
      <c r="N103" s="1"/>
    </row>
    <row r="104" spans="2:14" x14ac:dyDescent="0.2">
      <c r="B104" s="120"/>
      <c r="C104" s="122"/>
      <c r="D104" s="120"/>
      <c r="E104" s="121"/>
      <c r="F104" s="121"/>
      <c r="M104" s="1"/>
      <c r="N104" s="1"/>
    </row>
    <row r="105" spans="2:14" x14ac:dyDescent="0.2">
      <c r="B105" s="120"/>
      <c r="C105" s="122"/>
      <c r="D105" s="120"/>
      <c r="E105" s="121"/>
      <c r="F105" s="121"/>
      <c r="M105" s="1"/>
      <c r="N105" s="1"/>
    </row>
    <row r="106" spans="2:14" x14ac:dyDescent="0.2">
      <c r="B106" s="120"/>
      <c r="C106" s="122"/>
      <c r="D106" s="120"/>
      <c r="E106" s="121"/>
      <c r="F106" s="121"/>
      <c r="M106" s="1"/>
      <c r="N106" s="1"/>
    </row>
    <row r="107" spans="2:14" x14ac:dyDescent="0.2">
      <c r="B107" s="120"/>
      <c r="C107" s="122"/>
      <c r="D107" s="120"/>
      <c r="E107" s="121"/>
      <c r="F107" s="121"/>
      <c r="M107" s="1"/>
      <c r="N107" s="1"/>
    </row>
    <row r="108" spans="2:14" x14ac:dyDescent="0.2">
      <c r="B108" s="120"/>
      <c r="C108" s="122"/>
      <c r="D108" s="120"/>
      <c r="E108" s="121"/>
      <c r="F108" s="121"/>
      <c r="M108" s="1"/>
      <c r="N108" s="1"/>
    </row>
    <row r="109" spans="2:14" x14ac:dyDescent="0.2">
      <c r="B109" s="120"/>
      <c r="C109" s="122"/>
      <c r="D109" s="120"/>
      <c r="E109" s="129"/>
      <c r="F109" s="56"/>
      <c r="M109" s="1"/>
      <c r="N109" s="1"/>
    </row>
    <row r="110" spans="2:14" x14ac:dyDescent="0.2">
      <c r="B110" s="120"/>
      <c r="C110" s="122"/>
      <c r="D110" s="120"/>
      <c r="E110" s="129"/>
      <c r="F110" s="56"/>
      <c r="M110" s="1"/>
      <c r="N110" s="1"/>
    </row>
    <row r="111" spans="2:14" x14ac:dyDescent="0.2">
      <c r="B111" s="120"/>
      <c r="C111" s="122"/>
      <c r="D111" s="120"/>
      <c r="E111" s="56"/>
      <c r="F111" s="56"/>
      <c r="M111" s="1"/>
      <c r="N111" s="1"/>
    </row>
    <row r="112" spans="2:14" x14ac:dyDescent="0.2">
      <c r="B112" s="120"/>
      <c r="C112" s="122"/>
      <c r="D112" s="120"/>
      <c r="E112" s="56"/>
      <c r="F112" s="56"/>
      <c r="M112" s="1"/>
      <c r="N112" s="1"/>
    </row>
    <row r="113" spans="1:14" x14ac:dyDescent="0.2">
      <c r="C113" s="1"/>
      <c r="E113" s="5"/>
      <c r="F113" s="5"/>
      <c r="M113" s="1"/>
      <c r="N113" s="1"/>
    </row>
    <row r="114" spans="1:14" x14ac:dyDescent="0.2">
      <c r="C114" s="1"/>
      <c r="E114" s="5"/>
      <c r="F114" s="5"/>
      <c r="M114" s="1"/>
      <c r="N114" s="1"/>
    </row>
    <row r="115" spans="1:14" x14ac:dyDescent="0.2">
      <c r="B115" s="34"/>
      <c r="C115" s="130"/>
      <c r="D115" s="32"/>
      <c r="E115" s="131"/>
      <c r="F115" s="131"/>
      <c r="G115" s="32"/>
      <c r="H115" s="32"/>
      <c r="I115" s="32"/>
      <c r="M115" s="1"/>
      <c r="N115" s="1"/>
    </row>
    <row r="116" spans="1:14" x14ac:dyDescent="0.2">
      <c r="A116" s="46"/>
      <c r="B116" s="32"/>
      <c r="C116" s="10"/>
      <c r="D116" s="10"/>
      <c r="E116" s="19"/>
      <c r="F116" s="19"/>
      <c r="G116" s="19"/>
      <c r="H116" s="19"/>
      <c r="I116" s="19"/>
      <c r="M116" s="1"/>
      <c r="N116" s="1"/>
    </row>
    <row r="117" spans="1:14" x14ac:dyDescent="0.2">
      <c r="A117" s="46"/>
      <c r="B117" s="32"/>
      <c r="C117" s="11"/>
      <c r="D117" s="10"/>
      <c r="E117" s="19"/>
      <c r="F117" s="19"/>
      <c r="G117" s="19"/>
      <c r="H117" s="19"/>
      <c r="I117" s="19"/>
      <c r="K117" s="46"/>
      <c r="M117" s="1"/>
      <c r="N117" s="1"/>
    </row>
    <row r="118" spans="1:14" x14ac:dyDescent="0.2">
      <c r="A118" s="27"/>
      <c r="B118" s="32"/>
      <c r="C118" s="11"/>
      <c r="D118" s="10"/>
      <c r="E118" s="19"/>
      <c r="F118" s="19"/>
      <c r="G118" s="19"/>
      <c r="H118" s="19"/>
      <c r="I118" s="19"/>
      <c r="K118" s="46"/>
      <c r="M118" s="1"/>
      <c r="N118" s="1"/>
    </row>
    <row r="119" spans="1:14" s="46" customFormat="1" x14ac:dyDescent="0.2">
      <c r="A119" s="44"/>
      <c r="B119" s="32"/>
      <c r="C119" s="10"/>
      <c r="D119" s="10"/>
      <c r="E119" s="19"/>
      <c r="F119" s="19"/>
      <c r="G119" s="10"/>
      <c r="H119" s="19"/>
      <c r="I119" s="19"/>
      <c r="K119" s="27"/>
    </row>
    <row r="120" spans="1:14" s="46" customFormat="1" x14ac:dyDescent="0.2">
      <c r="A120"/>
      <c r="B120" s="10"/>
      <c r="C120" s="11"/>
      <c r="D120" s="10"/>
      <c r="E120" s="19"/>
      <c r="F120" s="19"/>
      <c r="G120" s="19"/>
      <c r="H120" s="19"/>
      <c r="I120" s="132"/>
      <c r="K120" s="44"/>
      <c r="M120" s="47"/>
      <c r="N120" s="47"/>
    </row>
    <row r="121" spans="1:14" s="27" customFormat="1" x14ac:dyDescent="0.2">
      <c r="A121"/>
      <c r="B121" s="10"/>
      <c r="C121" s="11"/>
      <c r="D121" s="10"/>
      <c r="E121" s="19"/>
      <c r="F121" s="19"/>
      <c r="G121" s="19"/>
      <c r="H121" s="19"/>
      <c r="I121" s="132"/>
      <c r="K121" s="2"/>
      <c r="M121" s="43"/>
      <c r="N121" s="43"/>
    </row>
    <row r="122" spans="1:14" s="44" customFormat="1" x14ac:dyDescent="0.2">
      <c r="A122"/>
      <c r="B122" s="10"/>
      <c r="C122" s="11"/>
      <c r="D122" s="10"/>
      <c r="E122" s="19"/>
      <c r="F122" s="19"/>
      <c r="G122" s="19"/>
      <c r="H122" s="19"/>
      <c r="I122" s="132"/>
      <c r="K122" s="2"/>
    </row>
    <row r="123" spans="1:14" x14ac:dyDescent="0.2">
      <c r="B123" s="133"/>
      <c r="C123" s="134"/>
      <c r="D123" s="32"/>
      <c r="E123" s="131"/>
      <c r="F123" s="131"/>
      <c r="G123" s="32"/>
      <c r="H123" s="32"/>
      <c r="I123" s="32"/>
      <c r="J123" s="5"/>
      <c r="K123" s="2"/>
      <c r="M123" s="1"/>
      <c r="N123" s="1"/>
    </row>
    <row r="124" spans="1:14" x14ac:dyDescent="0.2">
      <c r="B124" s="32"/>
      <c r="C124" s="135"/>
      <c r="D124" s="10"/>
      <c r="E124" s="19"/>
      <c r="F124" s="19"/>
      <c r="G124" s="19"/>
      <c r="H124" s="19"/>
      <c r="I124" s="19"/>
      <c r="J124" s="5"/>
      <c r="K124" s="2"/>
      <c r="M124" s="1"/>
      <c r="N124" s="1"/>
    </row>
    <row r="125" spans="1:14" x14ac:dyDescent="0.2">
      <c r="B125" s="32"/>
      <c r="C125" s="10"/>
      <c r="D125" s="10"/>
      <c r="E125" s="19"/>
      <c r="F125" s="136"/>
      <c r="G125" s="19"/>
      <c r="H125" s="19"/>
      <c r="I125" s="19"/>
      <c r="J125" s="5"/>
      <c r="M125" s="1"/>
      <c r="N125" s="1"/>
    </row>
    <row r="126" spans="1:14" x14ac:dyDescent="0.2">
      <c r="B126" s="32"/>
      <c r="C126" s="10"/>
      <c r="D126" s="10"/>
      <c r="E126" s="19"/>
      <c r="F126" s="19"/>
      <c r="G126" s="19"/>
      <c r="H126" s="19"/>
      <c r="I126" s="132"/>
      <c r="M126" s="1"/>
      <c r="N126" s="1"/>
    </row>
    <row r="127" spans="1:14" x14ac:dyDescent="0.2">
      <c r="B127" s="32"/>
      <c r="C127" s="10"/>
      <c r="D127" s="10"/>
      <c r="E127" s="19"/>
      <c r="F127" s="19"/>
      <c r="G127" s="19"/>
      <c r="H127" s="19"/>
      <c r="I127" s="19"/>
      <c r="M127" s="1"/>
      <c r="N127" s="1"/>
    </row>
    <row r="128" spans="1:14" x14ac:dyDescent="0.2">
      <c r="B128" s="25"/>
      <c r="C128" s="15"/>
      <c r="D128" s="15"/>
      <c r="E128" s="16"/>
      <c r="F128" s="16"/>
      <c r="G128" s="16"/>
      <c r="H128" s="16"/>
      <c r="I128" s="16"/>
    </row>
    <row r="129" spans="1:14" x14ac:dyDescent="0.2">
      <c r="C129" s="10"/>
      <c r="E129" s="5"/>
      <c r="F129" s="5"/>
    </row>
    <row r="130" spans="1:14" x14ac:dyDescent="0.2">
      <c r="E130" s="19"/>
      <c r="F130" s="5"/>
    </row>
    <row r="131" spans="1:14" x14ac:dyDescent="0.2">
      <c r="C131" s="10"/>
      <c r="E131" s="5"/>
      <c r="F131" s="5"/>
    </row>
    <row r="132" spans="1:14" x14ac:dyDescent="0.2">
      <c r="B132" s="15"/>
      <c r="C132" s="10"/>
      <c r="E132" s="5"/>
      <c r="F132" s="5"/>
      <c r="M132" s="1"/>
      <c r="N132" s="1"/>
    </row>
    <row r="133" spans="1:14" x14ac:dyDescent="0.2">
      <c r="B133" s="15"/>
      <c r="C133" s="15"/>
      <c r="D133" s="15"/>
      <c r="E133" s="16"/>
      <c r="F133" s="16"/>
      <c r="G133" s="15"/>
      <c r="H133" s="15"/>
      <c r="I133" s="15"/>
      <c r="M133" s="1"/>
      <c r="N133" s="1"/>
    </row>
    <row r="134" spans="1:14" x14ac:dyDescent="0.2">
      <c r="B134" s="15"/>
      <c r="C134" s="15"/>
      <c r="D134" s="15"/>
      <c r="E134" s="16"/>
      <c r="F134" s="16"/>
      <c r="G134" s="15"/>
      <c r="H134" s="15"/>
      <c r="I134" s="15"/>
      <c r="M134" s="1"/>
      <c r="N134" s="1"/>
    </row>
    <row r="135" spans="1:14" x14ac:dyDescent="0.2">
      <c r="B135" s="15"/>
      <c r="C135" s="15"/>
      <c r="D135" s="15"/>
      <c r="E135" s="16"/>
      <c r="F135" s="16"/>
      <c r="G135" s="15"/>
      <c r="H135" s="15"/>
      <c r="I135" s="15"/>
      <c r="M135" s="1"/>
      <c r="N135" s="1"/>
    </row>
    <row r="136" spans="1:14" x14ac:dyDescent="0.2">
      <c r="B136" s="15"/>
      <c r="C136" s="15"/>
      <c r="D136" s="15"/>
      <c r="E136" s="16"/>
      <c r="F136" s="16"/>
      <c r="N136" s="1"/>
    </row>
    <row r="137" spans="1:14" x14ac:dyDescent="0.2">
      <c r="B137" s="15"/>
      <c r="C137" s="15"/>
      <c r="D137" s="15"/>
      <c r="E137" s="16"/>
      <c r="F137" s="16"/>
      <c r="G137" s="15"/>
      <c r="H137" s="15"/>
      <c r="I137" s="15"/>
      <c r="K137" s="1"/>
      <c r="M137" s="1"/>
      <c r="N137" s="1"/>
    </row>
    <row r="138" spans="1:14" x14ac:dyDescent="0.2">
      <c r="C138" s="20"/>
      <c r="D138" s="15"/>
      <c r="E138" s="16"/>
      <c r="F138" s="16"/>
      <c r="G138" s="16"/>
      <c r="H138" s="16"/>
      <c r="I138" s="16"/>
      <c r="K138" s="1"/>
      <c r="N138" s="3"/>
    </row>
    <row r="139" spans="1:14" x14ac:dyDescent="0.2">
      <c r="B139" s="15"/>
      <c r="C139" s="11"/>
      <c r="E139" s="19"/>
      <c r="F139" s="5"/>
      <c r="G139" s="5"/>
      <c r="H139" s="5"/>
      <c r="I139" s="5"/>
      <c r="K139" s="1"/>
      <c r="N139" s="1"/>
    </row>
    <row r="140" spans="1:14" x14ac:dyDescent="0.2">
      <c r="C140" s="20"/>
      <c r="D140" s="15"/>
      <c r="E140" s="16"/>
      <c r="F140" s="16"/>
      <c r="G140" s="16"/>
      <c r="H140" s="16"/>
      <c r="I140" s="16"/>
      <c r="K140" s="1"/>
      <c r="N140" s="1"/>
    </row>
    <row r="141" spans="1:14" x14ac:dyDescent="0.2">
      <c r="B141" s="15"/>
      <c r="C141" s="10"/>
      <c r="E141" s="5"/>
      <c r="F141" s="5"/>
      <c r="K141" s="1"/>
      <c r="N141" s="4"/>
    </row>
    <row r="142" spans="1:14" x14ac:dyDescent="0.2">
      <c r="B142" s="15"/>
      <c r="C142" s="15"/>
      <c r="D142" s="15"/>
      <c r="E142" s="16"/>
      <c r="F142" s="16"/>
      <c r="G142" s="15"/>
      <c r="H142" s="15"/>
      <c r="I142" s="15"/>
      <c r="N142" s="4"/>
    </row>
    <row r="143" spans="1:14" x14ac:dyDescent="0.2">
      <c r="B143" s="15"/>
      <c r="C143" s="15"/>
      <c r="D143" s="15"/>
      <c r="E143" s="16"/>
      <c r="F143" s="16"/>
      <c r="G143" s="15"/>
      <c r="H143" s="15"/>
      <c r="I143" s="15"/>
      <c r="N143" s="4"/>
    </row>
    <row r="144" spans="1:14" x14ac:dyDescent="0.2">
      <c r="A144" s="10"/>
      <c r="C144" s="15"/>
      <c r="D144" s="15"/>
      <c r="E144" s="16"/>
      <c r="F144" s="16"/>
      <c r="G144" s="15"/>
      <c r="H144" s="15"/>
      <c r="I144" s="15"/>
    </row>
    <row r="145" spans="1:14" x14ac:dyDescent="0.2">
      <c r="A145" s="10"/>
      <c r="B145" s="15"/>
      <c r="C145" s="11"/>
      <c r="E145" s="5"/>
      <c r="F145" s="5"/>
      <c r="K145" s="10"/>
    </row>
    <row r="146" spans="1:14" x14ac:dyDescent="0.2">
      <c r="B146" s="15"/>
      <c r="C146" s="15"/>
      <c r="D146" s="15"/>
      <c r="E146" s="16"/>
      <c r="F146" s="16"/>
      <c r="G146" s="15"/>
      <c r="H146" s="15"/>
      <c r="I146" s="15"/>
      <c r="K146" s="10"/>
    </row>
    <row r="147" spans="1:14" s="10" customFormat="1" x14ac:dyDescent="0.2">
      <c r="A147"/>
      <c r="B147" s="15"/>
      <c r="C147" s="15"/>
      <c r="D147" s="15"/>
      <c r="E147" s="16"/>
      <c r="F147" s="16"/>
      <c r="G147" s="15"/>
      <c r="H147" s="15"/>
      <c r="I147" s="15"/>
      <c r="K147"/>
    </row>
    <row r="148" spans="1:14" s="10" customFormat="1" x14ac:dyDescent="0.2">
      <c r="A148"/>
      <c r="C148" s="20"/>
      <c r="D148" s="15"/>
      <c r="E148" s="16"/>
      <c r="F148" s="16"/>
      <c r="G148" s="15"/>
      <c r="H148" s="15"/>
      <c r="I148" s="15"/>
      <c r="K148"/>
    </row>
    <row r="149" spans="1:14" x14ac:dyDescent="0.2">
      <c r="B149" s="15"/>
      <c r="C149" s="10"/>
      <c r="D149" s="10"/>
      <c r="E149" s="19"/>
      <c r="F149" s="19"/>
      <c r="G149" s="19"/>
      <c r="H149" s="19"/>
      <c r="I149" s="19"/>
      <c r="M149" s="1"/>
      <c r="N149" s="1"/>
    </row>
    <row r="150" spans="1:14" x14ac:dyDescent="0.2">
      <c r="B150" s="15"/>
      <c r="C150" s="15"/>
      <c r="D150" s="15"/>
      <c r="E150" s="16"/>
      <c r="F150" s="16"/>
      <c r="G150" s="16"/>
      <c r="H150" s="16"/>
      <c r="I150" s="16"/>
    </row>
    <row r="151" spans="1:14" x14ac:dyDescent="0.2">
      <c r="B151" s="10"/>
      <c r="C151" s="15"/>
      <c r="D151" s="15"/>
      <c r="E151" s="16"/>
      <c r="F151" s="16"/>
      <c r="G151" s="15"/>
      <c r="H151" s="16"/>
      <c r="I151" s="16"/>
    </row>
    <row r="152" spans="1:14" x14ac:dyDescent="0.2">
      <c r="B152" s="15"/>
      <c r="C152" s="10"/>
      <c r="D152" s="10"/>
      <c r="E152" s="19"/>
      <c r="F152" s="19"/>
      <c r="G152" s="19"/>
      <c r="H152" s="19"/>
      <c r="I152" s="19"/>
    </row>
    <row r="153" spans="1:14" x14ac:dyDescent="0.2">
      <c r="B153" s="15"/>
      <c r="C153" s="15"/>
      <c r="D153" s="15"/>
      <c r="E153" s="16"/>
      <c r="F153" s="16"/>
      <c r="G153" s="15"/>
      <c r="H153" s="15"/>
      <c r="I153" s="15"/>
    </row>
    <row r="154" spans="1:14" x14ac:dyDescent="0.2">
      <c r="B154" s="15"/>
      <c r="C154" s="15"/>
      <c r="D154" s="15"/>
      <c r="E154" s="16"/>
      <c r="F154" s="16"/>
      <c r="G154" s="15"/>
      <c r="H154" s="15"/>
      <c r="I154" s="15"/>
    </row>
    <row r="155" spans="1:14" x14ac:dyDescent="0.2">
      <c r="B155" s="15"/>
      <c r="C155" s="15"/>
      <c r="D155" s="15"/>
      <c r="E155" s="16"/>
      <c r="F155" s="16"/>
      <c r="G155" s="15"/>
      <c r="H155" s="15"/>
      <c r="I155" s="15"/>
    </row>
    <row r="156" spans="1:14" x14ac:dyDescent="0.2">
      <c r="B156" s="15"/>
      <c r="C156" s="15"/>
      <c r="D156" s="15"/>
      <c r="E156" s="16"/>
      <c r="F156" s="16"/>
      <c r="G156" s="15"/>
      <c r="H156" s="15"/>
      <c r="I156" s="15"/>
    </row>
    <row r="157" spans="1:14" x14ac:dyDescent="0.2">
      <c r="B157" s="15"/>
      <c r="C157" s="15"/>
      <c r="D157" s="15"/>
      <c r="E157" s="16"/>
      <c r="F157" s="16"/>
      <c r="G157" s="15"/>
      <c r="H157" s="15"/>
      <c r="I157" s="15"/>
    </row>
    <row r="158" spans="1:14" x14ac:dyDescent="0.2">
      <c r="B158" s="15"/>
      <c r="C158" s="15"/>
      <c r="D158" s="15"/>
      <c r="E158" s="16"/>
      <c r="F158" s="16"/>
      <c r="G158" s="15"/>
      <c r="H158" s="15"/>
      <c r="I158" s="15"/>
      <c r="M158" s="1"/>
      <c r="N158" s="1"/>
    </row>
    <row r="159" spans="1:14" x14ac:dyDescent="0.2">
      <c r="C159" s="15"/>
      <c r="D159" s="15"/>
      <c r="E159" s="16"/>
      <c r="F159" s="16"/>
      <c r="G159" s="15"/>
      <c r="H159" s="15"/>
      <c r="I159" s="15"/>
    </row>
    <row r="160" spans="1:14" x14ac:dyDescent="0.2">
      <c r="E160" s="5"/>
      <c r="F160" s="35"/>
    </row>
    <row r="161" spans="2:9" x14ac:dyDescent="0.2">
      <c r="E161" s="5"/>
      <c r="F161" s="30"/>
    </row>
    <row r="162" spans="2:9" x14ac:dyDescent="0.2">
      <c r="C162" s="25"/>
      <c r="D162" s="15"/>
      <c r="E162" s="16"/>
      <c r="F162" s="26"/>
    </row>
    <row r="163" spans="2:9" x14ac:dyDescent="0.2">
      <c r="C163" s="23"/>
      <c r="E163" s="5"/>
      <c r="F163" s="5"/>
      <c r="I163" s="14"/>
    </row>
    <row r="164" spans="2:9" x14ac:dyDescent="0.2">
      <c r="C164" s="23"/>
      <c r="E164" s="5"/>
      <c r="F164" s="5"/>
    </row>
    <row r="165" spans="2:9" x14ac:dyDescent="0.2">
      <c r="C165" s="24"/>
      <c r="D165" s="14"/>
      <c r="E165" s="5"/>
      <c r="F165" s="5"/>
    </row>
    <row r="166" spans="2:9" x14ac:dyDescent="0.2">
      <c r="B166" s="10"/>
      <c r="C166" s="24"/>
      <c r="D166" s="14"/>
      <c r="E166" s="5"/>
      <c r="F166" s="5"/>
    </row>
    <row r="167" spans="2:9" x14ac:dyDescent="0.2">
      <c r="B167" s="10"/>
      <c r="D167" s="14"/>
      <c r="E167" s="19"/>
      <c r="F167" s="5"/>
      <c r="G167" s="10"/>
      <c r="H167" s="10"/>
      <c r="I167" s="32"/>
    </row>
    <row r="168" spans="2:9" x14ac:dyDescent="0.2">
      <c r="B168" s="27"/>
      <c r="D168" s="14"/>
      <c r="E168" s="19"/>
      <c r="F168" s="5"/>
      <c r="G168" s="10"/>
      <c r="H168" s="10"/>
      <c r="I168" s="10"/>
    </row>
    <row r="169" spans="2:9" x14ac:dyDescent="0.2">
      <c r="B169" s="10"/>
      <c r="C169" s="27"/>
      <c r="D169" s="36"/>
      <c r="E169" s="28"/>
      <c r="F169" s="28"/>
      <c r="G169" s="27"/>
      <c r="H169" s="27"/>
      <c r="I169" s="27"/>
    </row>
    <row r="170" spans="2:9" x14ac:dyDescent="0.2">
      <c r="D170" s="14"/>
      <c r="E170" s="19"/>
      <c r="F170" s="5"/>
      <c r="G170" s="10"/>
      <c r="H170" s="10"/>
      <c r="I170" s="10"/>
    </row>
    <row r="171" spans="2:9" x14ac:dyDescent="0.2">
      <c r="C171" s="1"/>
      <c r="E171" s="5"/>
      <c r="F171" s="6"/>
      <c r="G171" s="5"/>
      <c r="H171" s="5"/>
      <c r="I171" s="5"/>
    </row>
    <row r="172" spans="2:9" x14ac:dyDescent="0.2">
      <c r="C172" s="1"/>
      <c r="E172" s="5"/>
      <c r="F172" s="6"/>
      <c r="G172" s="5"/>
      <c r="H172" s="5"/>
    </row>
    <row r="173" spans="2:9" x14ac:dyDescent="0.2">
      <c r="C173" s="1"/>
      <c r="E173" s="5"/>
      <c r="F173" s="6"/>
      <c r="G173" s="5"/>
    </row>
    <row r="174" spans="2:9" x14ac:dyDescent="0.2">
      <c r="B174" s="34"/>
      <c r="C174" s="1"/>
      <c r="E174" s="5"/>
      <c r="F174" s="5"/>
    </row>
    <row r="175" spans="2:9" x14ac:dyDescent="0.2">
      <c r="B175" s="10"/>
      <c r="C175" s="1"/>
      <c r="E175" s="5"/>
      <c r="F175" s="5"/>
      <c r="I175" s="37"/>
    </row>
    <row r="176" spans="2:9" x14ac:dyDescent="0.2">
      <c r="B176" s="10"/>
      <c r="C176" s="10"/>
      <c r="D176" s="10"/>
      <c r="E176" s="19"/>
      <c r="F176" s="19"/>
      <c r="G176" s="19"/>
      <c r="H176" s="19"/>
      <c r="I176" s="19"/>
    </row>
    <row r="177" spans="2:14" x14ac:dyDescent="0.2">
      <c r="C177" s="11"/>
      <c r="D177" s="10"/>
      <c r="E177" s="19"/>
      <c r="F177" s="19"/>
      <c r="G177" s="19"/>
      <c r="H177" s="19"/>
      <c r="I177" s="19"/>
    </row>
    <row r="178" spans="2:14" x14ac:dyDescent="0.2">
      <c r="B178" s="14"/>
      <c r="C178" s="11"/>
      <c r="E178" s="5"/>
      <c r="F178" s="5"/>
      <c r="G178" s="5"/>
      <c r="H178" s="5"/>
      <c r="I178" s="5"/>
    </row>
    <row r="179" spans="2:14" ht="12.75" customHeight="1" x14ac:dyDescent="0.2">
      <c r="C179" s="11"/>
      <c r="E179" s="5"/>
      <c r="F179" s="5"/>
      <c r="G179" s="5"/>
      <c r="H179" s="5"/>
      <c r="I179" s="5"/>
    </row>
    <row r="180" spans="2:14" x14ac:dyDescent="0.2">
      <c r="F180" s="5"/>
    </row>
    <row r="181" spans="2:14" x14ac:dyDescent="0.2">
      <c r="F181" s="5"/>
    </row>
    <row r="182" spans="2:14" x14ac:dyDescent="0.2">
      <c r="E182" s="5"/>
      <c r="F182" s="5"/>
    </row>
    <row r="183" spans="2:14" x14ac:dyDescent="0.2">
      <c r="E183" s="5"/>
      <c r="F183" s="1"/>
    </row>
    <row r="184" spans="2:14" x14ac:dyDescent="0.2">
      <c r="B184" s="38"/>
      <c r="C184" s="10"/>
      <c r="E184" s="1"/>
      <c r="F184" s="1"/>
    </row>
    <row r="185" spans="2:14" x14ac:dyDescent="0.2">
      <c r="B185" s="41"/>
      <c r="C185" s="10"/>
      <c r="E185" s="1"/>
      <c r="F185" s="1"/>
    </row>
    <row r="186" spans="2:14" x14ac:dyDescent="0.2">
      <c r="B186" s="41"/>
      <c r="C186" s="41"/>
      <c r="D186" s="41"/>
      <c r="E186" s="41"/>
      <c r="F186" s="41"/>
      <c r="G186" s="41"/>
      <c r="H186" s="41"/>
      <c r="I186" s="41"/>
    </row>
    <row r="187" spans="2:14" x14ac:dyDescent="0.2">
      <c r="B187" s="38"/>
      <c r="C187" s="41"/>
      <c r="D187" s="41"/>
      <c r="E187" s="41"/>
      <c r="F187" s="41"/>
      <c r="G187" s="41"/>
      <c r="H187" s="41"/>
      <c r="I187" s="41"/>
    </row>
    <row r="188" spans="2:14" x14ac:dyDescent="0.2">
      <c r="B188" s="12"/>
      <c r="E188" s="1"/>
      <c r="F188" s="1"/>
    </row>
    <row r="189" spans="2:14" x14ac:dyDescent="0.2">
      <c r="B189" s="12"/>
      <c r="C189" s="12"/>
      <c r="D189" s="12"/>
      <c r="E189" s="12"/>
      <c r="F189" s="12"/>
      <c r="G189" s="12"/>
      <c r="H189" s="12"/>
      <c r="I189" s="12"/>
    </row>
    <row r="190" spans="2:14" x14ac:dyDescent="0.2">
      <c r="C190" s="12"/>
      <c r="D190" s="12"/>
      <c r="E190" s="12"/>
      <c r="F190" s="12"/>
      <c r="G190" s="12"/>
      <c r="H190" s="12"/>
      <c r="I190" s="12"/>
      <c r="K190" s="1"/>
    </row>
    <row r="192" spans="2:14" x14ac:dyDescent="0.2">
      <c r="N192" s="4"/>
    </row>
    <row r="193" spans="2:14" ht="15" x14ac:dyDescent="0.2">
      <c r="B193" s="33"/>
    </row>
    <row r="194" spans="2:14" x14ac:dyDescent="0.2">
      <c r="B194" s="34"/>
    </row>
    <row r="195" spans="2:14" x14ac:dyDescent="0.2">
      <c r="B195" s="13"/>
    </row>
    <row r="196" spans="2:14" x14ac:dyDescent="0.2">
      <c r="C196" s="13"/>
      <c r="D196" s="13"/>
      <c r="E196" s="13"/>
      <c r="F196" s="13"/>
      <c r="G196" s="13"/>
      <c r="H196" s="13"/>
      <c r="I196" s="13"/>
    </row>
    <row r="197" spans="2:14" x14ac:dyDescent="0.2">
      <c r="C197" s="10"/>
      <c r="E197" s="5"/>
      <c r="F197" s="5"/>
    </row>
    <row r="198" spans="2:14" x14ac:dyDescent="0.2">
      <c r="E198" s="19"/>
      <c r="F198" s="5"/>
      <c r="M198" s="1"/>
      <c r="N198" s="1"/>
    </row>
    <row r="199" spans="2:14" x14ac:dyDescent="0.2">
      <c r="C199" s="10"/>
      <c r="E199" s="5"/>
      <c r="F199" s="5"/>
    </row>
    <row r="200" spans="2:14" x14ac:dyDescent="0.2">
      <c r="B200" s="15"/>
      <c r="C200" s="10"/>
      <c r="E200" s="5"/>
      <c r="F200" s="5"/>
    </row>
    <row r="201" spans="2:14" x14ac:dyDescent="0.2">
      <c r="B201" s="15"/>
      <c r="C201" s="15"/>
      <c r="D201" s="15"/>
      <c r="E201" s="16"/>
      <c r="F201" s="16"/>
      <c r="G201" s="15"/>
      <c r="H201" s="15"/>
      <c r="I201" s="15"/>
    </row>
    <row r="202" spans="2:14" x14ac:dyDescent="0.2">
      <c r="B202" s="15"/>
      <c r="C202" s="15"/>
      <c r="D202" s="15"/>
      <c r="E202" s="16"/>
      <c r="F202" s="16"/>
      <c r="G202" s="15"/>
      <c r="H202" s="15"/>
      <c r="I202" s="15"/>
    </row>
    <row r="203" spans="2:14" x14ac:dyDescent="0.2">
      <c r="B203" s="15"/>
      <c r="C203" s="15"/>
      <c r="D203" s="15"/>
      <c r="E203" s="16"/>
      <c r="F203" s="16"/>
      <c r="G203" s="15"/>
      <c r="H203" s="15"/>
      <c r="I203" s="15"/>
    </row>
    <row r="204" spans="2:14" x14ac:dyDescent="0.2">
      <c r="B204" s="15"/>
      <c r="C204" s="15"/>
      <c r="D204" s="15"/>
      <c r="E204" s="16"/>
      <c r="F204" s="16"/>
      <c r="M204" s="1"/>
      <c r="N204" s="1"/>
    </row>
    <row r="205" spans="2:14" x14ac:dyDescent="0.2">
      <c r="B205" s="15"/>
      <c r="C205" s="15"/>
      <c r="D205" s="15"/>
      <c r="E205" s="16"/>
      <c r="F205" s="16"/>
      <c r="G205" s="15"/>
      <c r="H205" s="15"/>
      <c r="I205" s="15"/>
    </row>
    <row r="206" spans="2:14" x14ac:dyDescent="0.2">
      <c r="C206" s="20"/>
      <c r="D206" s="15"/>
      <c r="E206" s="16"/>
      <c r="F206" s="16"/>
      <c r="G206" s="16"/>
      <c r="H206" s="16"/>
      <c r="I206" s="16"/>
    </row>
    <row r="207" spans="2:14" x14ac:dyDescent="0.2">
      <c r="B207" s="15"/>
      <c r="C207" s="11"/>
      <c r="E207" s="19"/>
      <c r="F207" s="5"/>
      <c r="G207" s="5"/>
      <c r="H207" s="5"/>
      <c r="I207" s="5"/>
    </row>
    <row r="208" spans="2:14" x14ac:dyDescent="0.2">
      <c r="C208" s="20"/>
      <c r="D208" s="15"/>
      <c r="E208" s="16"/>
      <c r="F208" s="16"/>
      <c r="G208" s="16"/>
      <c r="H208" s="16"/>
      <c r="I208" s="16"/>
    </row>
    <row r="209" spans="2:9" x14ac:dyDescent="0.2">
      <c r="B209" s="15"/>
      <c r="C209" s="10"/>
      <c r="E209" s="5"/>
      <c r="F209" s="5"/>
    </row>
    <row r="210" spans="2:9" x14ac:dyDescent="0.2">
      <c r="B210" s="15"/>
      <c r="C210" s="15"/>
      <c r="D210" s="15"/>
      <c r="E210" s="16"/>
      <c r="F210" s="16"/>
      <c r="G210" s="15"/>
      <c r="H210" s="15"/>
      <c r="I210" s="15"/>
    </row>
    <row r="211" spans="2:9" x14ac:dyDescent="0.2">
      <c r="B211" s="15"/>
      <c r="C211" s="15"/>
      <c r="D211" s="15"/>
      <c r="E211" s="16"/>
      <c r="F211" s="16"/>
      <c r="G211" s="15"/>
      <c r="H211" s="15"/>
      <c r="I211" s="15"/>
    </row>
    <row r="212" spans="2:9" x14ac:dyDescent="0.2">
      <c r="C212" s="15"/>
      <c r="D212" s="15"/>
      <c r="E212" s="16"/>
      <c r="F212" s="16"/>
      <c r="G212" s="15"/>
      <c r="H212" s="15"/>
      <c r="I212" s="15"/>
    </row>
    <row r="213" spans="2:9" x14ac:dyDescent="0.2">
      <c r="B213" s="15"/>
      <c r="C213" s="11"/>
      <c r="E213" s="5"/>
      <c r="F213" s="5"/>
    </row>
    <row r="214" spans="2:9" x14ac:dyDescent="0.2">
      <c r="B214" s="15"/>
      <c r="C214" s="15"/>
      <c r="D214" s="15"/>
      <c r="E214" s="16"/>
      <c r="F214" s="16"/>
      <c r="G214" s="15"/>
      <c r="H214" s="15"/>
      <c r="I214" s="15"/>
    </row>
    <row r="215" spans="2:9" x14ac:dyDescent="0.2">
      <c r="B215" s="15"/>
      <c r="C215" s="15"/>
      <c r="D215" s="15"/>
      <c r="E215" s="16"/>
      <c r="F215" s="16"/>
      <c r="G215" s="15"/>
      <c r="H215" s="15"/>
      <c r="I215" s="15"/>
    </row>
    <row r="216" spans="2:9" x14ac:dyDescent="0.2">
      <c r="B216" s="10"/>
      <c r="C216" s="20"/>
      <c r="D216" s="15"/>
      <c r="E216" s="16"/>
      <c r="F216" s="16"/>
      <c r="G216" s="15"/>
      <c r="H216" s="15"/>
      <c r="I216" s="15"/>
    </row>
    <row r="217" spans="2:9" x14ac:dyDescent="0.2">
      <c r="B217" s="15"/>
      <c r="C217" s="10"/>
      <c r="D217" s="10"/>
      <c r="E217" s="19"/>
      <c r="F217" s="19"/>
      <c r="G217" s="19"/>
      <c r="H217" s="19"/>
      <c r="I217" s="19"/>
    </row>
    <row r="218" spans="2:9" x14ac:dyDescent="0.2">
      <c r="B218" s="15"/>
      <c r="C218" s="15"/>
      <c r="D218" s="15"/>
      <c r="E218" s="16"/>
      <c r="F218" s="16"/>
      <c r="G218" s="16"/>
      <c r="H218" s="16"/>
      <c r="I218" s="16"/>
    </row>
    <row r="219" spans="2:9" x14ac:dyDescent="0.2">
      <c r="B219" s="10"/>
      <c r="C219" s="15"/>
      <c r="D219" s="15"/>
      <c r="E219" s="16"/>
      <c r="F219" s="16"/>
      <c r="G219" s="15"/>
      <c r="H219" s="16"/>
      <c r="I219" s="16"/>
    </row>
    <row r="220" spans="2:9" x14ac:dyDescent="0.2">
      <c r="B220" s="15"/>
      <c r="C220" s="10"/>
      <c r="D220" s="10"/>
      <c r="E220" s="19"/>
      <c r="F220" s="19"/>
      <c r="G220" s="19"/>
      <c r="H220" s="19"/>
      <c r="I220" s="19"/>
    </row>
    <row r="221" spans="2:9" x14ac:dyDescent="0.2">
      <c r="B221" s="15"/>
      <c r="C221" s="15"/>
      <c r="D221" s="15"/>
      <c r="E221" s="16"/>
      <c r="F221" s="16"/>
      <c r="G221" s="15"/>
      <c r="H221" s="15"/>
      <c r="I221" s="15"/>
    </row>
    <row r="222" spans="2:9" x14ac:dyDescent="0.2">
      <c r="B222" s="15"/>
      <c r="C222" s="15"/>
      <c r="D222" s="15"/>
      <c r="E222" s="16"/>
      <c r="F222" s="16"/>
      <c r="G222" s="15"/>
      <c r="H222" s="15"/>
      <c r="I222" s="15"/>
    </row>
    <row r="223" spans="2:9" x14ac:dyDescent="0.2">
      <c r="B223" s="15"/>
      <c r="C223" s="15"/>
      <c r="D223" s="15"/>
      <c r="E223" s="16"/>
      <c r="F223" s="16"/>
      <c r="G223" s="15"/>
      <c r="H223" s="15"/>
      <c r="I223" s="15"/>
    </row>
    <row r="224" spans="2:9" x14ac:dyDescent="0.2">
      <c r="B224" s="15"/>
      <c r="C224" s="15"/>
      <c r="D224" s="15"/>
      <c r="E224" s="16"/>
      <c r="F224" s="16"/>
      <c r="G224" s="15"/>
      <c r="H224" s="15"/>
      <c r="I224" s="15"/>
    </row>
    <row r="225" spans="2:14" ht="12.75" customHeight="1" x14ac:dyDescent="0.2">
      <c r="B225" s="15"/>
      <c r="C225" s="15"/>
      <c r="D225" s="15"/>
      <c r="E225" s="16"/>
      <c r="F225" s="16"/>
      <c r="G225" s="15"/>
      <c r="H225" s="15"/>
      <c r="I225" s="15"/>
    </row>
    <row r="226" spans="2:14" x14ac:dyDescent="0.2">
      <c r="B226" s="15"/>
      <c r="C226" s="15"/>
      <c r="D226" s="15"/>
      <c r="E226" s="16"/>
      <c r="F226" s="16"/>
      <c r="G226" s="15"/>
      <c r="H226" s="15"/>
      <c r="I226" s="15"/>
    </row>
    <row r="227" spans="2:14" x14ac:dyDescent="0.2">
      <c r="C227" s="15"/>
      <c r="D227" s="15"/>
      <c r="E227" s="16"/>
      <c r="F227" s="16"/>
      <c r="G227" s="15"/>
      <c r="H227" s="15"/>
      <c r="I227" s="15"/>
    </row>
    <row r="228" spans="2:14" x14ac:dyDescent="0.2">
      <c r="E228" s="5"/>
      <c r="F228" s="35"/>
    </row>
    <row r="229" spans="2:14" x14ac:dyDescent="0.2">
      <c r="E229" s="5"/>
      <c r="F229" s="30"/>
    </row>
    <row r="230" spans="2:14" x14ac:dyDescent="0.2">
      <c r="C230" s="25"/>
      <c r="D230" s="15"/>
      <c r="E230" s="16"/>
      <c r="F230" s="26"/>
    </row>
    <row r="231" spans="2:14" x14ac:dyDescent="0.2">
      <c r="C231" s="23"/>
      <c r="E231" s="5"/>
      <c r="F231" s="5"/>
      <c r="I231" s="14"/>
    </row>
    <row r="232" spans="2:14" x14ac:dyDescent="0.2">
      <c r="C232" s="23"/>
      <c r="E232" s="5"/>
      <c r="F232" s="5"/>
    </row>
    <row r="233" spans="2:14" x14ac:dyDescent="0.2">
      <c r="C233" s="24"/>
      <c r="D233" s="14"/>
      <c r="E233" s="5"/>
      <c r="F233" s="5"/>
    </row>
    <row r="234" spans="2:14" x14ac:dyDescent="0.2">
      <c r="B234" s="10"/>
      <c r="C234" s="24"/>
      <c r="D234" s="14"/>
      <c r="E234" s="5"/>
      <c r="F234" s="5"/>
    </row>
    <row r="235" spans="2:14" x14ac:dyDescent="0.2">
      <c r="B235" s="10"/>
      <c r="D235" s="14"/>
      <c r="E235" s="19"/>
      <c r="F235" s="5"/>
      <c r="G235" s="10"/>
      <c r="H235" s="10"/>
      <c r="I235" s="32"/>
    </row>
    <row r="236" spans="2:14" x14ac:dyDescent="0.2">
      <c r="B236" s="27"/>
      <c r="D236" s="14"/>
      <c r="E236" s="19"/>
      <c r="F236" s="5"/>
      <c r="G236" s="10"/>
      <c r="H236" s="10"/>
      <c r="I236" s="10"/>
      <c r="K236" s="1"/>
    </row>
    <row r="237" spans="2:14" x14ac:dyDescent="0.2">
      <c r="B237" s="10"/>
      <c r="C237" s="27"/>
      <c r="D237" s="36"/>
      <c r="E237" s="28"/>
      <c r="F237" s="28"/>
      <c r="G237" s="27"/>
      <c r="H237" s="27"/>
      <c r="I237" s="27"/>
    </row>
    <row r="238" spans="2:14" x14ac:dyDescent="0.2">
      <c r="D238" s="14"/>
      <c r="E238" s="19"/>
      <c r="F238" s="5"/>
      <c r="G238" s="10"/>
      <c r="H238" s="10"/>
      <c r="I238" s="10"/>
      <c r="N238" s="4"/>
    </row>
    <row r="239" spans="2:14" x14ac:dyDescent="0.2">
      <c r="C239" s="1"/>
      <c r="E239" s="5"/>
      <c r="F239" s="6"/>
      <c r="G239" s="5"/>
      <c r="H239" s="5"/>
      <c r="I239" s="5"/>
    </row>
    <row r="240" spans="2:14" x14ac:dyDescent="0.2">
      <c r="C240" s="1"/>
      <c r="E240" s="5"/>
      <c r="F240" s="6"/>
      <c r="G240" s="5"/>
      <c r="H240" s="5"/>
    </row>
    <row r="241" spans="2:14" x14ac:dyDescent="0.2">
      <c r="C241" s="1"/>
      <c r="E241" s="5"/>
      <c r="F241" s="6"/>
      <c r="G241" s="5"/>
    </row>
    <row r="242" spans="2:14" x14ac:dyDescent="0.2">
      <c r="B242" s="34"/>
      <c r="C242" s="1"/>
      <c r="E242" s="5"/>
      <c r="F242" s="5"/>
    </row>
    <row r="243" spans="2:14" x14ac:dyDescent="0.2">
      <c r="B243" s="10"/>
      <c r="C243" s="1"/>
      <c r="E243" s="5"/>
      <c r="F243" s="5"/>
      <c r="I243" s="37"/>
    </row>
    <row r="244" spans="2:14" x14ac:dyDescent="0.2">
      <c r="B244" s="10"/>
      <c r="C244" s="10"/>
      <c r="D244" s="10"/>
      <c r="E244" s="19"/>
      <c r="F244" s="19"/>
      <c r="G244" s="19"/>
      <c r="H244" s="19"/>
      <c r="I244" s="19"/>
      <c r="M244" s="1"/>
      <c r="N244" s="1"/>
    </row>
    <row r="245" spans="2:14" x14ac:dyDescent="0.2">
      <c r="C245" s="11"/>
      <c r="D245" s="10"/>
      <c r="E245" s="19"/>
      <c r="F245" s="19"/>
      <c r="G245" s="19"/>
      <c r="H245" s="19"/>
      <c r="I245" s="19"/>
    </row>
    <row r="246" spans="2:14" x14ac:dyDescent="0.2">
      <c r="B246" s="14"/>
      <c r="C246" s="11"/>
      <c r="E246" s="5"/>
      <c r="F246" s="5"/>
      <c r="G246" s="5"/>
      <c r="H246" s="5"/>
      <c r="I246" s="5"/>
    </row>
    <row r="247" spans="2:14" x14ac:dyDescent="0.2">
      <c r="C247" s="11"/>
      <c r="E247" s="5"/>
      <c r="F247" s="5"/>
      <c r="G247" s="5"/>
      <c r="H247" s="5"/>
      <c r="I247" s="5"/>
    </row>
    <row r="248" spans="2:14" x14ac:dyDescent="0.2">
      <c r="F248" s="5"/>
    </row>
    <row r="249" spans="2:14" x14ac:dyDescent="0.2">
      <c r="F249" s="5"/>
    </row>
    <row r="250" spans="2:14" x14ac:dyDescent="0.2">
      <c r="E250" s="5"/>
      <c r="F250" s="5"/>
      <c r="M250" s="1"/>
      <c r="N250" s="1"/>
    </row>
    <row r="251" spans="2:14" x14ac:dyDescent="0.2">
      <c r="E251" s="5"/>
      <c r="F251" s="1"/>
    </row>
    <row r="252" spans="2:14" x14ac:dyDescent="0.2">
      <c r="B252" s="38"/>
      <c r="C252" s="10"/>
      <c r="E252" s="1"/>
      <c r="F252" s="1"/>
    </row>
    <row r="253" spans="2:14" x14ac:dyDescent="0.2">
      <c r="B253" s="41"/>
      <c r="C253" s="10"/>
      <c r="E253" s="1"/>
      <c r="F253" s="1"/>
    </row>
    <row r="254" spans="2:14" x14ac:dyDescent="0.2">
      <c r="B254" s="41"/>
      <c r="C254" s="41"/>
      <c r="D254" s="41"/>
      <c r="E254" s="41"/>
      <c r="F254" s="41"/>
      <c r="G254" s="41"/>
      <c r="H254" s="41"/>
      <c r="I254" s="41"/>
    </row>
    <row r="255" spans="2:14" x14ac:dyDescent="0.2">
      <c r="B255" s="38"/>
      <c r="C255" s="41"/>
      <c r="D255" s="41"/>
      <c r="E255" s="41"/>
      <c r="F255" s="41"/>
      <c r="G255" s="41"/>
      <c r="H255" s="41"/>
      <c r="I255" s="41"/>
    </row>
    <row r="256" spans="2:14" x14ac:dyDescent="0.2">
      <c r="B256" s="12"/>
      <c r="E256" s="1"/>
      <c r="F256" s="1"/>
    </row>
    <row r="257" spans="2:9" x14ac:dyDescent="0.2">
      <c r="B257" s="12"/>
      <c r="C257" s="12"/>
      <c r="D257" s="12"/>
      <c r="E257" s="12"/>
      <c r="F257" s="12"/>
      <c r="G257" s="12"/>
      <c r="H257" s="12"/>
      <c r="I257" s="12"/>
    </row>
    <row r="258" spans="2:9" x14ac:dyDescent="0.2">
      <c r="C258" s="12"/>
      <c r="D258" s="12"/>
      <c r="E258" s="12"/>
      <c r="F258" s="12"/>
      <c r="G258" s="12"/>
      <c r="H258" s="12"/>
      <c r="I258" s="12"/>
    </row>
    <row r="270" spans="2:9" ht="12.75" customHeight="1" x14ac:dyDescent="0.2"/>
    <row r="271" spans="2:9" ht="12.75" customHeight="1" x14ac:dyDescent="0.2"/>
    <row r="282" spans="11:14" x14ac:dyDescent="0.2">
      <c r="K282" s="1"/>
    </row>
    <row r="284" spans="11:14" x14ac:dyDescent="0.2">
      <c r="N284" s="4"/>
    </row>
    <row r="296" spans="13:14" x14ac:dyDescent="0.2">
      <c r="M296" s="1"/>
      <c r="N296" s="1"/>
    </row>
    <row r="317" ht="12.75" customHeight="1" x14ac:dyDescent="0.2"/>
    <row r="342" spans="13:14" x14ac:dyDescent="0.2">
      <c r="M342" s="1"/>
      <c r="N342" s="1"/>
    </row>
    <row r="363" ht="12.75" customHeight="1" x14ac:dyDescent="0.2"/>
  </sheetData>
  <mergeCells count="9">
    <mergeCell ref="D84:E84"/>
    <mergeCell ref="D85:E85"/>
    <mergeCell ref="C91:C93"/>
    <mergeCell ref="C11:I11"/>
    <mergeCell ref="A14:A29"/>
    <mergeCell ref="A30:A42"/>
    <mergeCell ref="A43:A57"/>
    <mergeCell ref="A58:A65"/>
    <mergeCell ref="D83:E83"/>
  </mergeCells>
  <conditionalFormatting sqref="B30:C42">
    <cfRule type="expression" dxfId="17" priority="2" stopIfTrue="1">
      <formula>OR($C30&gt;0)=TRUE</formula>
    </cfRule>
  </conditionalFormatting>
  <conditionalFormatting sqref="B21:E25">
    <cfRule type="expression" dxfId="16" priority="3" stopIfTrue="1">
      <formula>OR($C21&gt;0)=TRUE</formula>
    </cfRule>
  </conditionalFormatting>
  <conditionalFormatting sqref="B15:F20">
    <cfRule type="expression" dxfId="15" priority="7" stopIfTrue="1">
      <formula>OR($C15&gt;0)=TRUE</formula>
    </cfRule>
  </conditionalFormatting>
  <conditionalFormatting sqref="B47:G65">
    <cfRule type="expression" dxfId="14" priority="5" stopIfTrue="1">
      <formula>OR($C47&gt;0)=TRUE</formula>
    </cfRule>
  </conditionalFormatting>
  <conditionalFormatting sqref="B46:H46">
    <cfRule type="expression" dxfId="13" priority="1" stopIfTrue="1">
      <formula>OR($C46&gt;0)=TRUE</formula>
    </cfRule>
  </conditionalFormatting>
  <conditionalFormatting sqref="B14:I14 G15:G45 H15:I65 F21:F35 B26:D29 D30:D35 D36:F36 B43:D45">
    <cfRule type="expression" dxfId="12" priority="9" stopIfTrue="1">
      <formula>OR($C14&gt;0)=TRUE</formula>
    </cfRule>
  </conditionalFormatting>
  <conditionalFormatting sqref="D37:D42">
    <cfRule type="expression" dxfId="11" priority="8" stopIfTrue="1">
      <formula>OR($C37&gt;0)=TRUE</formula>
    </cfRule>
  </conditionalFormatting>
  <conditionalFormatting sqref="E26:E35">
    <cfRule type="expression" dxfId="10" priority="6" stopIfTrue="1">
      <formula>OR($C26&gt;0)=TRUE</formula>
    </cfRule>
  </conditionalFormatting>
  <conditionalFormatting sqref="E37:F45">
    <cfRule type="expression" dxfId="9" priority="4" stopIfTrue="1">
      <formula>OR($C37&gt;0)=TRUE</formula>
    </cfRule>
  </conditionalFormatting>
  <dataValidations count="7">
    <dataValidation type="list" allowBlank="1" showInputMessage="1" showErrorMessage="1" sqref="C79" xr:uid="{BC37208D-611D-4C78-B72C-28B269D3B717}">
      <formula1>"Central MA, Outside CMA"</formula1>
    </dataValidation>
    <dataValidation type="list" allowBlank="1" showInputMessage="1" showErrorMessage="1" sqref="E74" xr:uid="{2FB5D38C-026F-495E-B75D-10BA8B1B1CCB}">
      <formula1>"No, Yes"</formula1>
    </dataValidation>
    <dataValidation type="list" allowBlank="1" showInputMessage="1" showErrorMessage="1" sqref="A85" xr:uid="{9E3FC8F4-889D-47F6-9054-416B7370FB8B}">
      <formula1>"N/A, David, Robert G, RQ Fab, Other"</formula1>
    </dataValidation>
    <dataValidation type="list" allowBlank="1" showInputMessage="1" showErrorMessage="1" sqref="E77" xr:uid="{78A63BDE-E4B9-4E59-BCC5-6995D1BFC19E}">
      <formula1>"None, GAF System Plus, GAF Golden Pledge, CertainTeed 3 Star, CertainTeed 5 Star"</formula1>
    </dataValidation>
    <dataValidation type="list" allowBlank="1" showInputMessage="1" showErrorMessage="1" sqref="G68" xr:uid="{0EFA0AC6-B5FF-4DAE-9DC4-B514F2C06033}">
      <formula1>"Taxable, TAX EXEMPT"</formula1>
    </dataValidation>
    <dataValidation type="list" allowBlank="1" showInputMessage="1" showErrorMessage="1" promptTitle="Wage Requirement" prompt="Select Wage Requirement" sqref="G70" xr:uid="{C61B08E6-DE4B-4398-90A8-7C91B5D7FE9B}">
      <formula1>"Not PW, PW"</formula1>
    </dataValidation>
    <dataValidation type="list" allowBlank="1" showInputMessage="1" showErrorMessage="1" sqref="A74:A75 A68:A69 A71:A72 A77" xr:uid="{8415A3DF-3010-434C-8CDA-4037D8E869AC}">
      <formula1>"Yes,No"</formula1>
    </dataValidation>
  </dataValidations>
  <pageMargins left="0.75" right="0.75" top="1" bottom="1" header="0.5" footer="0.5"/>
  <pageSetup scale="59" fitToHeight="0" orientation="portrait" horizontalDpi="300" verticalDpi="300" r:id="rId1"/>
  <headerFooter alignWithMargins="0"/>
  <rowBreaks count="1" manualBreakCount="1">
    <brk id="97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999E1-96D9-42C3-94A1-51387D85ABE8}">
  <sheetPr>
    <pageSetUpPr fitToPage="1"/>
  </sheetPr>
  <dimension ref="A1:N363"/>
  <sheetViews>
    <sheetView topLeftCell="A66" zoomScale="115" zoomScaleNormal="115" workbookViewId="0">
      <selection activeCell="B98" sqref="B98"/>
    </sheetView>
  </sheetViews>
  <sheetFormatPr defaultRowHeight="12.75" outlineLevelRow="1" x14ac:dyDescent="0.2"/>
  <cols>
    <col min="1" max="1" width="9.140625" customWidth="1"/>
    <col min="2" max="2" width="55.42578125" customWidth="1"/>
    <col min="3" max="3" width="13.28515625" customWidth="1"/>
    <col min="4" max="4" width="21" customWidth="1"/>
    <col min="5" max="5" width="17.140625" customWidth="1"/>
    <col min="6" max="6" width="16.5703125" customWidth="1"/>
    <col min="7" max="7" width="12.42578125" customWidth="1"/>
    <col min="8" max="8" width="11" customWidth="1"/>
    <col min="9" max="9" width="17.85546875" customWidth="1"/>
    <col min="10" max="10" width="21.7109375" customWidth="1"/>
    <col min="11" max="11" width="7.5703125" hidden="1" customWidth="1"/>
    <col min="13" max="13" width="10.140625" customWidth="1"/>
    <col min="14" max="14" width="14.7109375" customWidth="1"/>
  </cols>
  <sheetData>
    <row r="1" spans="1:14" ht="13.15" customHeight="1" x14ac:dyDescent="0.2">
      <c r="A1" s="14"/>
      <c r="B1" s="10"/>
      <c r="C1" s="114"/>
      <c r="D1" s="115"/>
      <c r="E1" s="115"/>
      <c r="F1" s="115"/>
      <c r="G1" s="115"/>
      <c r="H1" s="115"/>
      <c r="I1" s="115"/>
    </row>
    <row r="2" spans="1:14" ht="13.15" customHeight="1" x14ac:dyDescent="0.2">
      <c r="A2" s="116" t="s">
        <v>136</v>
      </c>
      <c r="B2" s="117" t="s">
        <v>185</v>
      </c>
      <c r="C2" s="115"/>
      <c r="D2" s="115"/>
      <c r="E2" s="115"/>
      <c r="F2" s="115"/>
      <c r="G2" s="115"/>
      <c r="H2" s="115"/>
      <c r="I2" s="115"/>
    </row>
    <row r="3" spans="1:14" ht="13.15" customHeight="1" x14ac:dyDescent="0.25">
      <c r="A3" s="116"/>
      <c r="B3" s="118"/>
      <c r="C3" s="115"/>
      <c r="D3" s="115"/>
      <c r="E3" s="115"/>
      <c r="F3" s="115"/>
      <c r="G3" s="115"/>
      <c r="H3" s="115"/>
      <c r="I3" s="115"/>
    </row>
    <row r="4" spans="1:14" ht="12.75" customHeight="1" x14ac:dyDescent="0.2">
      <c r="A4" s="116" t="s">
        <v>39</v>
      </c>
      <c r="B4" s="119" t="s">
        <v>186</v>
      </c>
      <c r="C4" s="115"/>
      <c r="D4" s="115"/>
      <c r="E4" s="115"/>
      <c r="F4" s="115"/>
      <c r="G4" s="115"/>
      <c r="H4" s="115"/>
      <c r="I4" s="115"/>
    </row>
    <row r="5" spans="1:14" ht="14.25" x14ac:dyDescent="0.2">
      <c r="A5" s="117"/>
      <c r="B5" s="117" t="str">
        <f>IF('Take off'!C4=0,"",'Take off'!C4)</f>
        <v/>
      </c>
      <c r="C5" s="45"/>
    </row>
    <row r="6" spans="1:14" x14ac:dyDescent="0.2">
      <c r="C6" s="34"/>
      <c r="D6" s="34"/>
      <c r="I6" s="45"/>
    </row>
    <row r="7" spans="1:14" x14ac:dyDescent="0.2">
      <c r="A7">
        <v>1</v>
      </c>
      <c r="B7" s="81" t="s">
        <v>91</v>
      </c>
      <c r="C7" s="34"/>
      <c r="D7" s="34"/>
      <c r="E7" s="10"/>
      <c r="I7" s="45"/>
    </row>
    <row r="8" spans="1:14" x14ac:dyDescent="0.2">
      <c r="A8">
        <v>2</v>
      </c>
      <c r="B8" s="82" t="s">
        <v>92</v>
      </c>
      <c r="C8" s="34"/>
      <c r="D8" s="34"/>
      <c r="E8" s="10"/>
      <c r="I8" s="45"/>
    </row>
    <row r="9" spans="1:14" x14ac:dyDescent="0.2">
      <c r="A9">
        <v>3</v>
      </c>
      <c r="B9" s="139" t="s">
        <v>160</v>
      </c>
      <c r="C9" s="34"/>
      <c r="D9" s="34"/>
      <c r="E9" s="10"/>
      <c r="I9" s="45"/>
    </row>
    <row r="10" spans="1:14" x14ac:dyDescent="0.2">
      <c r="C10" s="45"/>
      <c r="E10" s="45"/>
      <c r="F10" s="45"/>
      <c r="G10" s="45"/>
      <c r="H10" s="45"/>
      <c r="I10" s="45"/>
    </row>
    <row r="11" spans="1:14" ht="18" x14ac:dyDescent="0.25">
      <c r="B11" s="79">
        <v>2700</v>
      </c>
      <c r="C11" s="225" t="s">
        <v>158</v>
      </c>
      <c r="D11" s="226"/>
      <c r="E11" s="226"/>
      <c r="F11" s="226"/>
      <c r="G11" s="226"/>
      <c r="H11" s="226"/>
      <c r="I11" s="226"/>
    </row>
    <row r="12" spans="1:14" ht="15.75" thickBot="1" x14ac:dyDescent="0.25">
      <c r="B12" s="33"/>
    </row>
    <row r="13" spans="1:14" ht="13.5" thickBot="1" x14ac:dyDescent="0.25">
      <c r="B13" s="153" t="s">
        <v>0</v>
      </c>
      <c r="C13" s="154" t="s">
        <v>1</v>
      </c>
      <c r="D13" s="154" t="s">
        <v>142</v>
      </c>
      <c r="E13" s="154" t="s">
        <v>3</v>
      </c>
      <c r="F13" s="154" t="s">
        <v>2</v>
      </c>
      <c r="G13" s="154" t="s">
        <v>11</v>
      </c>
      <c r="H13" s="154" t="s">
        <v>10</v>
      </c>
      <c r="I13" s="155" t="s">
        <v>12</v>
      </c>
      <c r="J13" s="13"/>
    </row>
    <row r="14" spans="1:14" s="46" customFormat="1" ht="12.75" customHeight="1" x14ac:dyDescent="0.2">
      <c r="A14" s="227" t="s">
        <v>153</v>
      </c>
      <c r="B14" s="156" t="s">
        <v>38</v>
      </c>
      <c r="C14" s="149">
        <v>9</v>
      </c>
      <c r="D14" s="150" t="s">
        <v>6</v>
      </c>
      <c r="E14" s="157">
        <v>77.599699999999999</v>
      </c>
      <c r="F14" s="151">
        <f t="shared" ref="F14:F43" si="0">SUM(C14)*(E14)</f>
        <v>698.39729999999997</v>
      </c>
      <c r="G14" s="151">
        <f>SUM(F14)*0.0625</f>
        <v>43.649831249999998</v>
      </c>
      <c r="H14" s="151">
        <f>SUM(F14:G14)</f>
        <v>742.04713125000001</v>
      </c>
      <c r="I14" s="158">
        <f>SUM(H14)*1.4</f>
        <v>1038.8659837499999</v>
      </c>
      <c r="M14" s="47"/>
      <c r="N14" s="47"/>
    </row>
    <row r="15" spans="1:14" s="15" customFormat="1" x14ac:dyDescent="0.2">
      <c r="A15" s="228"/>
      <c r="B15" s="39" t="s">
        <v>48</v>
      </c>
      <c r="C15" s="159"/>
      <c r="D15" s="15" t="s">
        <v>6</v>
      </c>
      <c r="E15" s="160">
        <v>100.71</v>
      </c>
      <c r="F15" s="16">
        <f>SUM(C15)*(E15)</f>
        <v>0</v>
      </c>
      <c r="G15" s="16">
        <f>SUM(F15)*0.0625</f>
        <v>0</v>
      </c>
      <c r="H15" s="16">
        <f>SUM(F15:G15)</f>
        <v>0</v>
      </c>
      <c r="I15" s="21">
        <f>SUM(H15)*1.4</f>
        <v>0</v>
      </c>
      <c r="J15" s="42"/>
      <c r="M15" s="18"/>
      <c r="N15" s="18"/>
    </row>
    <row r="16" spans="1:14" s="15" customFormat="1" x14ac:dyDescent="0.2">
      <c r="A16" s="228"/>
      <c r="B16" s="39" t="s">
        <v>123</v>
      </c>
      <c r="C16" s="147">
        <v>2</v>
      </c>
      <c r="D16" s="120" t="s">
        <v>6</v>
      </c>
      <c r="E16" s="160">
        <v>113.54940000000001</v>
      </c>
      <c r="F16" s="121">
        <f>SUM(C16)*(E16)</f>
        <v>227.09880000000001</v>
      </c>
      <c r="G16" s="16">
        <f t="shared" ref="G16:G65" si="1">SUM(F16)*0.0625</f>
        <v>14.193675000000001</v>
      </c>
      <c r="H16" s="16">
        <f t="shared" ref="H16:H65" si="2">SUM(F16:G16)</f>
        <v>241.29247500000002</v>
      </c>
      <c r="I16" s="21">
        <f t="shared" ref="I16:I65" si="3">SUM(H16)*1.4</f>
        <v>337.80946499999999</v>
      </c>
    </row>
    <row r="17" spans="1:14" s="46" customFormat="1" x14ac:dyDescent="0.2">
      <c r="A17" s="228"/>
      <c r="B17" s="39" t="s">
        <v>165</v>
      </c>
      <c r="C17" s="159"/>
      <c r="D17" s="15" t="s">
        <v>6</v>
      </c>
      <c r="E17" s="160">
        <v>200.5</v>
      </c>
      <c r="F17" s="121">
        <f>SUM(C17)*(E17)</f>
        <v>0</v>
      </c>
      <c r="G17" s="16">
        <f t="shared" si="1"/>
        <v>0</v>
      </c>
      <c r="H17" s="16">
        <f t="shared" si="2"/>
        <v>0</v>
      </c>
      <c r="I17" s="21">
        <f t="shared" si="3"/>
        <v>0</v>
      </c>
    </row>
    <row r="18" spans="1:14" s="46" customFormat="1" x14ac:dyDescent="0.2">
      <c r="A18" s="228"/>
      <c r="B18" s="49" t="s">
        <v>14</v>
      </c>
      <c r="C18" s="147">
        <f>IF(AND('Take off'!C28=400,'Take off'!F8="GAF"),'Take off'!D28,0)</f>
        <v>0</v>
      </c>
      <c r="D18" s="120" t="s">
        <v>6</v>
      </c>
      <c r="E18" s="160">
        <v>60.81</v>
      </c>
      <c r="F18" s="121">
        <f t="shared" si="0"/>
        <v>0</v>
      </c>
      <c r="G18" s="16">
        <f t="shared" si="1"/>
        <v>0</v>
      </c>
      <c r="H18" s="16">
        <f t="shared" si="2"/>
        <v>0</v>
      </c>
      <c r="I18" s="21">
        <f t="shared" si="3"/>
        <v>0</v>
      </c>
    </row>
    <row r="19" spans="1:14" s="46" customFormat="1" x14ac:dyDescent="0.2">
      <c r="A19" s="228"/>
      <c r="B19" s="39" t="s">
        <v>127</v>
      </c>
      <c r="C19" s="147">
        <v>4</v>
      </c>
      <c r="D19" s="120" t="s">
        <v>7</v>
      </c>
      <c r="E19" s="160">
        <v>56.330599999999997</v>
      </c>
      <c r="F19" s="121">
        <f t="shared" si="0"/>
        <v>225.32239999999999</v>
      </c>
      <c r="G19" s="16">
        <f t="shared" si="1"/>
        <v>14.082649999999999</v>
      </c>
      <c r="H19" s="16">
        <f t="shared" si="2"/>
        <v>239.40504999999999</v>
      </c>
      <c r="I19" s="21">
        <f t="shared" si="3"/>
        <v>335.16706999999997</v>
      </c>
      <c r="M19" s="47"/>
      <c r="N19" s="47"/>
    </row>
    <row r="20" spans="1:14" s="46" customFormat="1" x14ac:dyDescent="0.2">
      <c r="A20" s="228"/>
      <c r="B20" s="39" t="s">
        <v>156</v>
      </c>
      <c r="C20" s="152"/>
      <c r="D20" s="120" t="s">
        <v>7</v>
      </c>
      <c r="E20" s="121">
        <v>60</v>
      </c>
      <c r="F20" s="121">
        <f>SUM(C20)*(E20)</f>
        <v>0</v>
      </c>
      <c r="G20" s="16">
        <f t="shared" si="1"/>
        <v>0</v>
      </c>
      <c r="H20" s="16">
        <f t="shared" si="2"/>
        <v>0</v>
      </c>
      <c r="I20" s="21">
        <f t="shared" si="3"/>
        <v>0</v>
      </c>
      <c r="M20" s="47"/>
      <c r="N20" s="47"/>
    </row>
    <row r="21" spans="1:14" s="46" customFormat="1" x14ac:dyDescent="0.2">
      <c r="A21" s="228"/>
      <c r="B21" s="39" t="s">
        <v>189</v>
      </c>
      <c r="C21" s="152">
        <v>1</v>
      </c>
      <c r="D21" s="15" t="s">
        <v>6</v>
      </c>
      <c r="E21" s="160">
        <v>127.5</v>
      </c>
      <c r="F21" s="121">
        <f t="shared" si="0"/>
        <v>127.5</v>
      </c>
      <c r="G21" s="16">
        <f t="shared" si="1"/>
        <v>7.96875</v>
      </c>
      <c r="H21" s="16">
        <f t="shared" si="2"/>
        <v>135.46875</v>
      </c>
      <c r="I21" s="21">
        <f t="shared" si="3"/>
        <v>189.65625</v>
      </c>
      <c r="M21" s="47"/>
      <c r="N21" s="47"/>
    </row>
    <row r="22" spans="1:14" s="46" customFormat="1" x14ac:dyDescent="0.2">
      <c r="A22" s="228"/>
      <c r="B22" s="39" t="s">
        <v>190</v>
      </c>
      <c r="C22" s="171">
        <v>1</v>
      </c>
      <c r="D22" s="15" t="s">
        <v>6</v>
      </c>
      <c r="E22" s="160">
        <v>126.25</v>
      </c>
      <c r="F22" s="121">
        <f t="shared" si="0"/>
        <v>126.25</v>
      </c>
      <c r="G22" s="16">
        <f t="shared" si="1"/>
        <v>7.890625</v>
      </c>
      <c r="H22" s="16">
        <f t="shared" si="2"/>
        <v>134.140625</v>
      </c>
      <c r="I22" s="21">
        <f t="shared" si="3"/>
        <v>187.796875</v>
      </c>
      <c r="M22" s="47"/>
      <c r="N22" s="47"/>
    </row>
    <row r="23" spans="1:14" s="15" customFormat="1" x14ac:dyDescent="0.2">
      <c r="A23" s="228"/>
      <c r="B23" s="39" t="s">
        <v>125</v>
      </c>
      <c r="C23" s="161">
        <v>29</v>
      </c>
      <c r="D23" s="15" t="s">
        <v>9</v>
      </c>
      <c r="E23" s="160">
        <v>126</v>
      </c>
      <c r="F23" s="121">
        <f>SUM(C23)*(E23)</f>
        <v>3654</v>
      </c>
      <c r="G23" s="16">
        <f t="shared" si="1"/>
        <v>228.375</v>
      </c>
      <c r="H23" s="16">
        <f t="shared" si="2"/>
        <v>3882.375</v>
      </c>
      <c r="I23" s="21">
        <f t="shared" si="3"/>
        <v>5435.3249999999998</v>
      </c>
      <c r="M23" s="18"/>
      <c r="N23" s="18"/>
    </row>
    <row r="24" spans="1:14" s="15" customFormat="1" x14ac:dyDescent="0.2">
      <c r="A24" s="228"/>
      <c r="B24" s="39" t="s">
        <v>125</v>
      </c>
      <c r="C24" s="161">
        <f>IF(AND('Take off'!C29=3,'Take off'!F8="GAF"),'Take off'!D29,0)</f>
        <v>0</v>
      </c>
      <c r="D24" s="15" t="s">
        <v>7</v>
      </c>
      <c r="E24" s="160">
        <f>E23/3</f>
        <v>42</v>
      </c>
      <c r="F24" s="121">
        <f t="shared" si="0"/>
        <v>0</v>
      </c>
      <c r="G24" s="16">
        <f t="shared" si="1"/>
        <v>0</v>
      </c>
      <c r="H24" s="16">
        <f t="shared" si="2"/>
        <v>0</v>
      </c>
      <c r="I24" s="21">
        <f t="shared" si="3"/>
        <v>0</v>
      </c>
      <c r="M24" s="18"/>
      <c r="N24" s="18"/>
    </row>
    <row r="25" spans="1:14" s="15" customFormat="1" x14ac:dyDescent="0.2">
      <c r="A25" s="228"/>
      <c r="B25" s="39" t="s">
        <v>138</v>
      </c>
      <c r="C25" s="152"/>
      <c r="D25" s="120" t="s">
        <v>9</v>
      </c>
      <c r="E25" s="121">
        <v>205</v>
      </c>
      <c r="F25" s="121">
        <f t="shared" si="0"/>
        <v>0</v>
      </c>
      <c r="G25" s="16">
        <f t="shared" si="1"/>
        <v>0</v>
      </c>
      <c r="H25" s="16">
        <f t="shared" si="2"/>
        <v>0</v>
      </c>
      <c r="I25" s="21">
        <f t="shared" si="3"/>
        <v>0</v>
      </c>
      <c r="M25" s="18"/>
      <c r="N25" s="18"/>
    </row>
    <row r="26" spans="1:14" s="46" customFormat="1" x14ac:dyDescent="0.2">
      <c r="A26" s="228"/>
      <c r="B26" s="39" t="s">
        <v>139</v>
      </c>
      <c r="C26" s="161">
        <v>6</v>
      </c>
      <c r="D26" s="120" t="s">
        <v>7</v>
      </c>
      <c r="E26" s="160">
        <v>59.88</v>
      </c>
      <c r="F26" s="121">
        <f>SUM(C26)*(E26)</f>
        <v>359.28000000000003</v>
      </c>
      <c r="G26" s="16">
        <f t="shared" si="1"/>
        <v>22.455000000000002</v>
      </c>
      <c r="H26" s="16">
        <f t="shared" si="2"/>
        <v>381.73500000000001</v>
      </c>
      <c r="I26" s="21">
        <f t="shared" si="3"/>
        <v>534.42899999999997</v>
      </c>
      <c r="M26" s="47"/>
      <c r="N26" s="47"/>
    </row>
    <row r="27" spans="1:14" s="46" customFormat="1" x14ac:dyDescent="0.2">
      <c r="A27" s="228"/>
      <c r="B27" s="39" t="s">
        <v>47</v>
      </c>
      <c r="C27" s="161">
        <f>IF(AND('Take off'!C30=20,'Take off'!F8="GAF"), 'Take off'!D30,0)</f>
        <v>0</v>
      </c>
      <c r="D27" s="120" t="s">
        <v>7</v>
      </c>
      <c r="E27" s="160">
        <v>60.59</v>
      </c>
      <c r="F27" s="121">
        <f>SUM(C27)*(E27)</f>
        <v>0</v>
      </c>
      <c r="G27" s="16">
        <f t="shared" si="1"/>
        <v>0</v>
      </c>
      <c r="H27" s="16">
        <f t="shared" si="2"/>
        <v>0</v>
      </c>
      <c r="I27" s="21">
        <f t="shared" si="3"/>
        <v>0</v>
      </c>
      <c r="M27" s="47"/>
      <c r="N27" s="47"/>
    </row>
    <row r="28" spans="1:14" s="15" customFormat="1" x14ac:dyDescent="0.2">
      <c r="A28" s="228"/>
      <c r="B28" s="39" t="s">
        <v>143</v>
      </c>
      <c r="C28" s="161">
        <v>26</v>
      </c>
      <c r="D28" s="120" t="s">
        <v>17</v>
      </c>
      <c r="E28" s="160">
        <v>11.8476</v>
      </c>
      <c r="F28" s="121">
        <f>SUM(C28)*(E28)</f>
        <v>308.0376</v>
      </c>
      <c r="G28" s="16">
        <f t="shared" si="1"/>
        <v>19.25235</v>
      </c>
      <c r="H28" s="16">
        <f t="shared" si="2"/>
        <v>327.28994999999998</v>
      </c>
      <c r="I28" s="21">
        <f t="shared" si="3"/>
        <v>458.20592999999991</v>
      </c>
    </row>
    <row r="29" spans="1:14" s="46" customFormat="1" ht="13.5" thickBot="1" x14ac:dyDescent="0.25">
      <c r="A29" s="229"/>
      <c r="B29" s="50" t="s">
        <v>24</v>
      </c>
      <c r="C29" s="162">
        <f>IF(AND('Take off'!C35=20,'Take off'!F8="GAF"),'Take off'!D35,0)</f>
        <v>0</v>
      </c>
      <c r="D29" s="51" t="s">
        <v>6</v>
      </c>
      <c r="E29" s="163">
        <v>45</v>
      </c>
      <c r="F29" s="52">
        <f t="shared" si="0"/>
        <v>0</v>
      </c>
      <c r="G29" s="166">
        <f t="shared" si="1"/>
        <v>0</v>
      </c>
      <c r="H29" s="166">
        <f t="shared" si="2"/>
        <v>0</v>
      </c>
      <c r="I29" s="167">
        <f t="shared" si="3"/>
        <v>0</v>
      </c>
    </row>
    <row r="30" spans="1:14" s="15" customFormat="1" x14ac:dyDescent="0.2">
      <c r="A30" s="230" t="s">
        <v>28</v>
      </c>
      <c r="B30" s="156" t="s">
        <v>25</v>
      </c>
      <c r="C30" s="149">
        <f>IF('Take off'!F8="CertainTeed",'Take off'!D27,0)</f>
        <v>0</v>
      </c>
      <c r="D30" s="150" t="s">
        <v>6</v>
      </c>
      <c r="E30" s="157">
        <v>82.5</v>
      </c>
      <c r="F30" s="151">
        <f t="shared" si="0"/>
        <v>0</v>
      </c>
      <c r="G30" s="168">
        <f t="shared" si="1"/>
        <v>0</v>
      </c>
      <c r="H30" s="168">
        <f t="shared" si="2"/>
        <v>0</v>
      </c>
      <c r="I30" s="169">
        <f t="shared" si="3"/>
        <v>0</v>
      </c>
      <c r="L30" s="18"/>
      <c r="M30" s="18"/>
    </row>
    <row r="31" spans="1:14" s="15" customFormat="1" x14ac:dyDescent="0.2">
      <c r="A31" s="231"/>
      <c r="B31" s="39" t="s">
        <v>35</v>
      </c>
      <c r="C31" s="159"/>
      <c r="D31" s="120" t="s">
        <v>6</v>
      </c>
      <c r="E31" s="160">
        <v>176.32</v>
      </c>
      <c r="F31" s="121">
        <f>SUM(C31)*(E31)</f>
        <v>0</v>
      </c>
      <c r="G31" s="16">
        <f t="shared" si="1"/>
        <v>0</v>
      </c>
      <c r="H31" s="16">
        <f t="shared" si="2"/>
        <v>0</v>
      </c>
      <c r="I31" s="21">
        <f t="shared" si="3"/>
        <v>0</v>
      </c>
    </row>
    <row r="32" spans="1:14" s="15" customFormat="1" x14ac:dyDescent="0.2">
      <c r="A32" s="231"/>
      <c r="B32" s="39" t="s">
        <v>166</v>
      </c>
      <c r="C32" s="161">
        <f>IF(AND('Take off'!C28=1000,'Take off'!F8="CertainTeed"),'Take off'!D28,0)</f>
        <v>0</v>
      </c>
      <c r="D32" s="120" t="s">
        <v>6</v>
      </c>
      <c r="E32" s="160">
        <v>112.65</v>
      </c>
      <c r="F32" s="121">
        <f>SUM(C32)*(E32)</f>
        <v>0</v>
      </c>
      <c r="G32" s="16">
        <f t="shared" si="1"/>
        <v>0</v>
      </c>
      <c r="H32" s="16">
        <f t="shared" si="2"/>
        <v>0</v>
      </c>
      <c r="I32" s="21">
        <f t="shared" si="3"/>
        <v>0</v>
      </c>
    </row>
    <row r="33" spans="1:14" s="15" customFormat="1" x14ac:dyDescent="0.2">
      <c r="A33" s="231"/>
      <c r="B33" s="49" t="s">
        <v>26</v>
      </c>
      <c r="C33" s="161">
        <f>IF(AND('Take off'!C28=400,'Take off'!F8="CertainTeed"),'Take off'!D28,0)</f>
        <v>0</v>
      </c>
      <c r="D33" s="120" t="s">
        <v>6</v>
      </c>
      <c r="E33" s="160">
        <v>63.38</v>
      </c>
      <c r="F33" s="121">
        <f t="shared" si="0"/>
        <v>0</v>
      </c>
      <c r="G33" s="16">
        <f t="shared" si="1"/>
        <v>0</v>
      </c>
      <c r="H33" s="16">
        <f t="shared" si="2"/>
        <v>0</v>
      </c>
      <c r="I33" s="21">
        <f t="shared" si="3"/>
        <v>0</v>
      </c>
    </row>
    <row r="34" spans="1:14" s="15" customFormat="1" x14ac:dyDescent="0.2">
      <c r="A34" s="231"/>
      <c r="B34" s="39" t="s">
        <v>36</v>
      </c>
      <c r="C34" s="159"/>
      <c r="D34" s="120" t="s">
        <v>6</v>
      </c>
      <c r="E34" s="160">
        <v>268.39</v>
      </c>
      <c r="F34" s="121">
        <f>SUM(C34)*(E34)</f>
        <v>0</v>
      </c>
      <c r="G34" s="16">
        <f t="shared" si="1"/>
        <v>0</v>
      </c>
      <c r="H34" s="16">
        <f t="shared" si="2"/>
        <v>0</v>
      </c>
      <c r="I34" s="21">
        <f t="shared" si="3"/>
        <v>0</v>
      </c>
      <c r="L34" s="18"/>
      <c r="M34" s="18"/>
    </row>
    <row r="35" spans="1:14" s="15" customFormat="1" x14ac:dyDescent="0.2">
      <c r="A35" s="231"/>
      <c r="B35" s="39" t="s">
        <v>54</v>
      </c>
      <c r="C35" s="161">
        <f>IF(AND('Take off'!C31=116,'Take off'!F8="CertainTeed"),'Take off'!D31,0)</f>
        <v>0</v>
      </c>
      <c r="D35" s="120" t="s">
        <v>7</v>
      </c>
      <c r="E35" s="160">
        <v>61.83</v>
      </c>
      <c r="F35" s="121">
        <f t="shared" si="0"/>
        <v>0</v>
      </c>
      <c r="G35" s="16">
        <f t="shared" si="1"/>
        <v>0</v>
      </c>
      <c r="H35" s="16">
        <f t="shared" si="2"/>
        <v>0</v>
      </c>
      <c r="I35" s="21">
        <f t="shared" si="3"/>
        <v>0</v>
      </c>
    </row>
    <row r="36" spans="1:14" s="15" customFormat="1" x14ac:dyDescent="0.2">
      <c r="A36" s="231"/>
      <c r="B36" s="49" t="s">
        <v>30</v>
      </c>
      <c r="C36" s="159"/>
      <c r="D36" s="120" t="s">
        <v>7</v>
      </c>
      <c r="E36" s="121">
        <v>62</v>
      </c>
      <c r="F36" s="121">
        <f t="shared" si="0"/>
        <v>0</v>
      </c>
      <c r="G36" s="16">
        <f t="shared" si="1"/>
        <v>0</v>
      </c>
      <c r="H36" s="16">
        <f t="shared" si="2"/>
        <v>0</v>
      </c>
      <c r="I36" s="21">
        <f t="shared" si="3"/>
        <v>0</v>
      </c>
      <c r="L36" s="18"/>
      <c r="M36" s="18"/>
    </row>
    <row r="37" spans="1:14" s="15" customFormat="1" x14ac:dyDescent="0.2">
      <c r="A37" s="231"/>
      <c r="B37" s="39" t="s">
        <v>169</v>
      </c>
      <c r="C37" s="161">
        <f>IF(AND('Take off'!C29=1,'Take off'!F8="CertainTeed"),'Take off'!D29,0)</f>
        <v>0</v>
      </c>
      <c r="D37" s="120" t="s">
        <v>9</v>
      </c>
      <c r="E37" s="160">
        <v>115.41</v>
      </c>
      <c r="F37" s="121">
        <f>SUM(C37)*(E37)</f>
        <v>0</v>
      </c>
      <c r="G37" s="16">
        <f t="shared" si="1"/>
        <v>0</v>
      </c>
      <c r="H37" s="16">
        <f t="shared" si="2"/>
        <v>0</v>
      </c>
      <c r="I37" s="21">
        <f t="shared" si="3"/>
        <v>0</v>
      </c>
      <c r="L37" s="18"/>
      <c r="M37" s="18"/>
    </row>
    <row r="38" spans="1:14" s="15" customFormat="1" x14ac:dyDescent="0.2">
      <c r="A38" s="231"/>
      <c r="B38" s="39" t="s">
        <v>51</v>
      </c>
      <c r="C38" s="159"/>
      <c r="D38" s="120" t="s">
        <v>9</v>
      </c>
      <c r="E38" s="160">
        <v>103.5</v>
      </c>
      <c r="F38" s="121">
        <f>SUM(C38)*(E38)</f>
        <v>0</v>
      </c>
      <c r="G38" s="16">
        <f t="shared" si="1"/>
        <v>0</v>
      </c>
      <c r="H38" s="16">
        <f t="shared" si="2"/>
        <v>0</v>
      </c>
      <c r="I38" s="21">
        <f t="shared" si="3"/>
        <v>0</v>
      </c>
      <c r="L38" s="18"/>
      <c r="M38" s="18"/>
    </row>
    <row r="39" spans="1:14" s="15" customFormat="1" x14ac:dyDescent="0.2">
      <c r="A39" s="231"/>
      <c r="B39" s="39" t="s">
        <v>159</v>
      </c>
      <c r="C39" s="159"/>
      <c r="D39" s="120" t="s">
        <v>9</v>
      </c>
      <c r="E39" s="121">
        <v>250</v>
      </c>
      <c r="F39" s="121">
        <f>SUM(C39)*(E39)</f>
        <v>0</v>
      </c>
      <c r="G39" s="16">
        <f t="shared" si="1"/>
        <v>0</v>
      </c>
      <c r="H39" s="16">
        <f t="shared" si="2"/>
        <v>0</v>
      </c>
      <c r="I39" s="21">
        <f t="shared" si="3"/>
        <v>0</v>
      </c>
      <c r="L39" s="18"/>
      <c r="M39" s="18"/>
    </row>
    <row r="40" spans="1:14" s="15" customFormat="1" x14ac:dyDescent="0.2">
      <c r="A40" s="231"/>
      <c r="B40" s="39" t="s">
        <v>52</v>
      </c>
      <c r="C40" s="161">
        <f>IF(AND('Take off'!C30=20,'Take off'!F8="CertainTeed"), 'Take off'!D30,0)</f>
        <v>0</v>
      </c>
      <c r="D40" s="120" t="s">
        <v>7</v>
      </c>
      <c r="E40" s="160">
        <v>54</v>
      </c>
      <c r="F40" s="121">
        <f>SUM(C40)*(E40)</f>
        <v>0</v>
      </c>
      <c r="G40" s="16">
        <f t="shared" si="1"/>
        <v>0</v>
      </c>
      <c r="H40" s="16">
        <f t="shared" si="2"/>
        <v>0</v>
      </c>
      <c r="I40" s="21">
        <f t="shared" si="3"/>
        <v>0</v>
      </c>
      <c r="L40" s="18"/>
      <c r="M40" s="18"/>
    </row>
    <row r="41" spans="1:14" s="15" customFormat="1" x14ac:dyDescent="0.2">
      <c r="A41" s="231"/>
      <c r="B41" s="49" t="s">
        <v>27</v>
      </c>
      <c r="C41" s="161">
        <f>IF(AND('Take off'!C30=30,'Take off'!F8="CertainTeed"), 'Take off'!D30,0)</f>
        <v>0</v>
      </c>
      <c r="D41" s="120" t="s">
        <v>7</v>
      </c>
      <c r="E41" s="160">
        <v>74.150000000000006</v>
      </c>
      <c r="F41" s="121">
        <f t="shared" si="0"/>
        <v>0</v>
      </c>
      <c r="G41" s="16">
        <f t="shared" si="1"/>
        <v>0</v>
      </c>
      <c r="H41" s="16">
        <f t="shared" si="2"/>
        <v>0</v>
      </c>
      <c r="I41" s="21">
        <f t="shared" si="3"/>
        <v>0</v>
      </c>
      <c r="L41" s="18"/>
      <c r="M41" s="18"/>
    </row>
    <row r="42" spans="1:14" s="15" customFormat="1" ht="13.5" thickBot="1" x14ac:dyDescent="0.25">
      <c r="A42" s="231"/>
      <c r="B42" s="39" t="s">
        <v>53</v>
      </c>
      <c r="C42" s="162">
        <f>IF(AND('Take off'!C35=4,'Take off'!F8="CertainTeed"),'Take off'!D35,0)</f>
        <v>0</v>
      </c>
      <c r="D42" s="15" t="s">
        <v>17</v>
      </c>
      <c r="E42" s="160">
        <v>14.57</v>
      </c>
      <c r="F42" s="121">
        <f t="shared" si="0"/>
        <v>0</v>
      </c>
      <c r="G42" s="16">
        <f t="shared" si="1"/>
        <v>0</v>
      </c>
      <c r="H42" s="16">
        <f t="shared" si="2"/>
        <v>0</v>
      </c>
      <c r="I42" s="21">
        <f t="shared" si="3"/>
        <v>0</v>
      </c>
    </row>
    <row r="43" spans="1:14" s="15" customFormat="1" ht="12.75" customHeight="1" x14ac:dyDescent="0.2">
      <c r="A43" s="227" t="s">
        <v>29</v>
      </c>
      <c r="B43" s="148" t="s">
        <v>46</v>
      </c>
      <c r="C43" s="149">
        <v>40</v>
      </c>
      <c r="D43" s="150" t="s">
        <v>18</v>
      </c>
      <c r="E43" s="157">
        <v>12.7065</v>
      </c>
      <c r="F43" s="151">
        <f t="shared" si="0"/>
        <v>508.26</v>
      </c>
      <c r="G43" s="168">
        <f t="shared" si="1"/>
        <v>31.766249999999999</v>
      </c>
      <c r="H43" s="168">
        <f t="shared" si="2"/>
        <v>540.02625</v>
      </c>
      <c r="I43" s="169">
        <f t="shared" si="3"/>
        <v>756.03674999999998</v>
      </c>
    </row>
    <row r="44" spans="1:14" s="10" customFormat="1" ht="12.75" customHeight="1" x14ac:dyDescent="0.2">
      <c r="A44" s="228"/>
      <c r="B44" s="39" t="s">
        <v>40</v>
      </c>
      <c r="C44" s="147">
        <v>3</v>
      </c>
      <c r="D44" s="120" t="s">
        <v>19</v>
      </c>
      <c r="E44" s="160">
        <v>62.039099999999998</v>
      </c>
      <c r="F44" s="121">
        <f t="shared" ref="F44:F65" si="4">SUM(C44)*(E44)</f>
        <v>186.1173</v>
      </c>
      <c r="G44" s="16">
        <f t="shared" si="1"/>
        <v>11.63233125</v>
      </c>
      <c r="H44" s="16">
        <f t="shared" si="2"/>
        <v>197.74963124999999</v>
      </c>
      <c r="I44" s="21">
        <f t="shared" si="3"/>
        <v>276.84948374999999</v>
      </c>
      <c r="M44" s="22"/>
      <c r="N44" s="22"/>
    </row>
    <row r="45" spans="1:14" s="46" customFormat="1" ht="12.75" customHeight="1" x14ac:dyDescent="0.2">
      <c r="A45" s="228"/>
      <c r="B45" s="49" t="s">
        <v>20</v>
      </c>
      <c r="C45" s="147">
        <v>1</v>
      </c>
      <c r="D45" s="120" t="s">
        <v>6</v>
      </c>
      <c r="E45" s="160">
        <v>139.2303</v>
      </c>
      <c r="F45" s="121">
        <f t="shared" si="4"/>
        <v>139.2303</v>
      </c>
      <c r="G45" s="16">
        <f t="shared" si="1"/>
        <v>8.70189375</v>
      </c>
      <c r="H45" s="16">
        <f t="shared" si="2"/>
        <v>147.93219375000001</v>
      </c>
      <c r="I45" s="21">
        <f t="shared" si="3"/>
        <v>207.10507125000001</v>
      </c>
      <c r="N45" s="48"/>
    </row>
    <row r="46" spans="1:14" s="46" customFormat="1" ht="12.75" customHeight="1" x14ac:dyDescent="0.2">
      <c r="A46" s="228"/>
      <c r="B46" s="39" t="s">
        <v>50</v>
      </c>
      <c r="C46" s="159"/>
      <c r="D46" s="120" t="s">
        <v>6</v>
      </c>
      <c r="E46" s="160">
        <v>16</v>
      </c>
      <c r="F46" s="121">
        <f t="shared" si="4"/>
        <v>0</v>
      </c>
      <c r="G46" s="16">
        <f t="shared" si="1"/>
        <v>0</v>
      </c>
      <c r="H46" s="16">
        <f t="shared" si="2"/>
        <v>0</v>
      </c>
      <c r="I46" s="21">
        <f t="shared" ref="I46" si="5">SUM(H46)*1.4</f>
        <v>0</v>
      </c>
      <c r="N46" s="48"/>
    </row>
    <row r="47" spans="1:14" s="10" customFormat="1" x14ac:dyDescent="0.2">
      <c r="A47" s="228"/>
      <c r="B47" s="39" t="s">
        <v>192</v>
      </c>
      <c r="C47" s="147">
        <v>4</v>
      </c>
      <c r="D47" s="120" t="s">
        <v>15</v>
      </c>
      <c r="E47" s="160">
        <v>3.89</v>
      </c>
      <c r="F47" s="121">
        <f t="shared" si="4"/>
        <v>15.56</v>
      </c>
      <c r="G47" s="16">
        <f t="shared" si="1"/>
        <v>0.97250000000000003</v>
      </c>
      <c r="H47" s="16">
        <f t="shared" si="2"/>
        <v>16.532499999999999</v>
      </c>
      <c r="I47" s="21">
        <f t="shared" si="3"/>
        <v>23.145499999999998</v>
      </c>
      <c r="M47" s="22"/>
      <c r="N47" s="22"/>
    </row>
    <row r="48" spans="1:14" s="10" customFormat="1" x14ac:dyDescent="0.2">
      <c r="A48" s="228"/>
      <c r="B48" s="39" t="s">
        <v>141</v>
      </c>
      <c r="C48" s="152"/>
      <c r="D48" s="15" t="s">
        <v>15</v>
      </c>
      <c r="E48" s="160">
        <v>5.85</v>
      </c>
      <c r="F48" s="121">
        <f t="shared" si="4"/>
        <v>0</v>
      </c>
      <c r="G48" s="16">
        <f t="shared" si="1"/>
        <v>0</v>
      </c>
      <c r="H48" s="16">
        <f t="shared" si="2"/>
        <v>0</v>
      </c>
      <c r="I48" s="21">
        <f t="shared" si="3"/>
        <v>0</v>
      </c>
      <c r="M48" s="22"/>
      <c r="N48" s="22"/>
    </row>
    <row r="49" spans="1:14" s="15" customFormat="1" x14ac:dyDescent="0.2">
      <c r="A49" s="228"/>
      <c r="B49" s="49" t="s">
        <v>22</v>
      </c>
      <c r="C49" s="152"/>
      <c r="D49" s="120" t="s">
        <v>16</v>
      </c>
      <c r="E49" s="121">
        <v>8.42</v>
      </c>
      <c r="F49" s="121">
        <f t="shared" si="4"/>
        <v>0</v>
      </c>
      <c r="G49" s="16">
        <f t="shared" si="1"/>
        <v>0</v>
      </c>
      <c r="H49" s="16">
        <f t="shared" si="2"/>
        <v>0</v>
      </c>
      <c r="I49" s="21">
        <f t="shared" si="3"/>
        <v>0</v>
      </c>
      <c r="M49" s="18"/>
      <c r="N49" s="18"/>
    </row>
    <row r="50" spans="1:14" s="15" customFormat="1" x14ac:dyDescent="0.2">
      <c r="A50" s="228"/>
      <c r="B50" s="49" t="s">
        <v>21</v>
      </c>
      <c r="C50" s="147">
        <v>1</v>
      </c>
      <c r="D50" s="120" t="s">
        <v>16</v>
      </c>
      <c r="E50" s="160">
        <v>12.8725</v>
      </c>
      <c r="F50" s="121">
        <f t="shared" si="4"/>
        <v>12.8725</v>
      </c>
      <c r="G50" s="16">
        <f t="shared" si="1"/>
        <v>0.80453125000000003</v>
      </c>
      <c r="H50" s="16">
        <f t="shared" si="2"/>
        <v>13.677031250000001</v>
      </c>
      <c r="I50" s="21">
        <f t="shared" si="3"/>
        <v>19.14784375</v>
      </c>
      <c r="M50" s="18"/>
      <c r="N50" s="18"/>
    </row>
    <row r="51" spans="1:14" s="15" customFormat="1" x14ac:dyDescent="0.2">
      <c r="A51" s="228"/>
      <c r="B51" s="39" t="s">
        <v>157</v>
      </c>
      <c r="C51" s="152"/>
      <c r="D51" s="15" t="s">
        <v>16</v>
      </c>
      <c r="E51" s="121">
        <v>25</v>
      </c>
      <c r="F51" s="121">
        <f t="shared" si="4"/>
        <v>0</v>
      </c>
      <c r="G51" s="16">
        <f t="shared" si="1"/>
        <v>0</v>
      </c>
      <c r="H51" s="16">
        <f t="shared" si="2"/>
        <v>0</v>
      </c>
      <c r="I51" s="21">
        <f t="shared" si="3"/>
        <v>0</v>
      </c>
      <c r="M51" s="18"/>
      <c r="N51" s="18"/>
    </row>
    <row r="52" spans="1:14" s="15" customFormat="1" x14ac:dyDescent="0.2">
      <c r="A52" s="228"/>
      <c r="B52" s="39" t="s">
        <v>191</v>
      </c>
      <c r="C52" s="152">
        <v>2</v>
      </c>
      <c r="D52" s="15" t="s">
        <v>8</v>
      </c>
      <c r="E52" s="160">
        <v>15.0932</v>
      </c>
      <c r="F52" s="121">
        <f t="shared" si="4"/>
        <v>30.186399999999999</v>
      </c>
      <c r="G52" s="16">
        <f t="shared" si="1"/>
        <v>1.8866499999999999</v>
      </c>
      <c r="H52" s="16">
        <f t="shared" si="2"/>
        <v>32.073050000000002</v>
      </c>
      <c r="I52" s="21">
        <f t="shared" si="3"/>
        <v>44.902270000000001</v>
      </c>
      <c r="M52" s="18"/>
      <c r="N52" s="18"/>
    </row>
    <row r="53" spans="1:14" s="10" customFormat="1" x14ac:dyDescent="0.2">
      <c r="A53" s="228"/>
      <c r="B53" s="39" t="s">
        <v>140</v>
      </c>
      <c r="C53" s="161">
        <f>'Take off'!D34</f>
        <v>2</v>
      </c>
      <c r="D53" s="120" t="s">
        <v>8</v>
      </c>
      <c r="E53" s="160">
        <v>71.882999999999996</v>
      </c>
      <c r="F53" s="121">
        <f t="shared" si="4"/>
        <v>143.76599999999999</v>
      </c>
      <c r="G53" s="16">
        <f t="shared" si="1"/>
        <v>8.9853749999999994</v>
      </c>
      <c r="H53" s="16">
        <f t="shared" si="2"/>
        <v>152.751375</v>
      </c>
      <c r="I53" s="21">
        <f t="shared" si="3"/>
        <v>213.85192499999999</v>
      </c>
      <c r="M53" s="22"/>
      <c r="N53" s="22"/>
    </row>
    <row r="54" spans="1:14" s="15" customFormat="1" ht="12.75" customHeight="1" x14ac:dyDescent="0.2">
      <c r="A54" s="228"/>
      <c r="B54" s="39" t="s">
        <v>41</v>
      </c>
      <c r="C54" s="170"/>
      <c r="D54" s="120" t="s">
        <v>33</v>
      </c>
      <c r="E54" s="160">
        <v>35</v>
      </c>
      <c r="F54" s="121">
        <f>SUM(C54)*(E54)</f>
        <v>0</v>
      </c>
      <c r="G54" s="16">
        <f t="shared" si="1"/>
        <v>0</v>
      </c>
      <c r="H54" s="16">
        <f t="shared" si="2"/>
        <v>0</v>
      </c>
      <c r="I54" s="21">
        <f t="shared" si="3"/>
        <v>0</v>
      </c>
    </row>
    <row r="55" spans="1:14" s="15" customFormat="1" x14ac:dyDescent="0.2">
      <c r="A55" s="228"/>
      <c r="B55" s="39" t="s">
        <v>49</v>
      </c>
      <c r="C55" s="170">
        <v>1</v>
      </c>
      <c r="D55" s="15" t="s">
        <v>173</v>
      </c>
      <c r="E55" s="160">
        <v>147.46</v>
      </c>
      <c r="F55" s="121">
        <f>SUM(C55)*(E55)</f>
        <v>147.46</v>
      </c>
      <c r="G55" s="16">
        <f t="shared" si="1"/>
        <v>9.2162500000000005</v>
      </c>
      <c r="H55" s="16">
        <f t="shared" si="2"/>
        <v>156.67625000000001</v>
      </c>
      <c r="I55" s="21">
        <f t="shared" si="3"/>
        <v>219.34675000000001</v>
      </c>
    </row>
    <row r="56" spans="1:14" s="15" customFormat="1" x14ac:dyDescent="0.2">
      <c r="A56" s="228"/>
      <c r="B56" s="39" t="s">
        <v>154</v>
      </c>
      <c r="C56" s="170"/>
      <c r="D56" s="15" t="s">
        <v>17</v>
      </c>
      <c r="E56" s="160">
        <v>43.91</v>
      </c>
      <c r="F56" s="121">
        <f t="shared" si="4"/>
        <v>0</v>
      </c>
      <c r="G56" s="16">
        <f t="shared" si="1"/>
        <v>0</v>
      </c>
      <c r="H56" s="16">
        <f t="shared" si="2"/>
        <v>0</v>
      </c>
      <c r="I56" s="21">
        <f t="shared" si="3"/>
        <v>0</v>
      </c>
    </row>
    <row r="57" spans="1:14" s="15" customFormat="1" ht="13.5" thickBot="1" x14ac:dyDescent="0.25">
      <c r="A57" s="229"/>
      <c r="B57" s="164" t="s">
        <v>155</v>
      </c>
      <c r="C57" s="181">
        <v>4</v>
      </c>
      <c r="D57" s="165" t="s">
        <v>17</v>
      </c>
      <c r="E57" s="163">
        <v>26.09</v>
      </c>
      <c r="F57" s="52">
        <f t="shared" si="4"/>
        <v>104.36</v>
      </c>
      <c r="G57" s="166">
        <f t="shared" si="1"/>
        <v>6.5225</v>
      </c>
      <c r="H57" s="166">
        <f t="shared" si="2"/>
        <v>110.88249999999999</v>
      </c>
      <c r="I57" s="167">
        <f t="shared" si="3"/>
        <v>155.23549999999997</v>
      </c>
    </row>
    <row r="58" spans="1:14" s="46" customFormat="1" x14ac:dyDescent="0.2">
      <c r="A58" s="238" t="s">
        <v>31</v>
      </c>
      <c r="B58" s="148"/>
      <c r="C58" s="150"/>
      <c r="D58" s="182"/>
      <c r="E58" s="151"/>
      <c r="F58" s="151">
        <f t="shared" ref="F58:F64" si="6">SUM(C58)*(E58)</f>
        <v>0</v>
      </c>
      <c r="G58" s="168">
        <f t="shared" si="1"/>
        <v>0</v>
      </c>
      <c r="H58" s="168">
        <f t="shared" si="2"/>
        <v>0</v>
      </c>
      <c r="I58" s="169">
        <f t="shared" si="3"/>
        <v>0</v>
      </c>
    </row>
    <row r="59" spans="1:14" s="46" customFormat="1" x14ac:dyDescent="0.2">
      <c r="A59" s="239"/>
      <c r="B59" s="39"/>
      <c r="C59" s="120"/>
      <c r="D59" s="15"/>
      <c r="E59" s="121"/>
      <c r="F59" s="121">
        <f t="shared" si="6"/>
        <v>0</v>
      </c>
      <c r="G59" s="16">
        <f t="shared" si="1"/>
        <v>0</v>
      </c>
      <c r="H59" s="16">
        <f t="shared" si="2"/>
        <v>0</v>
      </c>
      <c r="I59" s="21">
        <f t="shared" si="3"/>
        <v>0</v>
      </c>
    </row>
    <row r="60" spans="1:14" s="46" customFormat="1" x14ac:dyDescent="0.2">
      <c r="A60" s="239"/>
      <c r="B60" s="39"/>
      <c r="C60" s="120"/>
      <c r="D60" s="15"/>
      <c r="E60" s="121"/>
      <c r="F60" s="121">
        <f t="shared" ref="F60:F61" si="7">SUM(C60)*(E60)</f>
        <v>0</v>
      </c>
      <c r="G60" s="16">
        <f t="shared" ref="G60:G61" si="8">SUM(F60)*0.0625</f>
        <v>0</v>
      </c>
      <c r="H60" s="16">
        <f t="shared" si="2"/>
        <v>0</v>
      </c>
      <c r="I60" s="21">
        <f t="shared" si="3"/>
        <v>0</v>
      </c>
    </row>
    <row r="61" spans="1:14" s="46" customFormat="1" x14ac:dyDescent="0.2">
      <c r="A61" s="239"/>
      <c r="B61" s="39"/>
      <c r="C61" s="120"/>
      <c r="D61" s="15"/>
      <c r="E61" s="121"/>
      <c r="F61" s="121">
        <f t="shared" si="7"/>
        <v>0</v>
      </c>
      <c r="G61" s="16">
        <f t="shared" si="8"/>
        <v>0</v>
      </c>
      <c r="H61" s="16">
        <f t="shared" si="2"/>
        <v>0</v>
      </c>
      <c r="I61" s="21">
        <f t="shared" si="3"/>
        <v>0</v>
      </c>
    </row>
    <row r="62" spans="1:14" s="46" customFormat="1" x14ac:dyDescent="0.2">
      <c r="A62" s="239"/>
      <c r="B62" s="39"/>
      <c r="C62" s="120"/>
      <c r="D62" s="15"/>
      <c r="E62" s="121"/>
      <c r="F62" s="121">
        <f t="shared" si="6"/>
        <v>0</v>
      </c>
      <c r="G62" s="16">
        <f t="shared" si="1"/>
        <v>0</v>
      </c>
      <c r="H62" s="16">
        <f t="shared" si="2"/>
        <v>0</v>
      </c>
      <c r="I62" s="21">
        <f t="shared" si="3"/>
        <v>0</v>
      </c>
    </row>
    <row r="63" spans="1:14" s="46" customFormat="1" x14ac:dyDescent="0.2">
      <c r="A63" s="239"/>
      <c r="B63" s="39"/>
      <c r="C63" s="120"/>
      <c r="D63" s="15"/>
      <c r="E63" s="121"/>
      <c r="F63" s="121">
        <f t="shared" si="6"/>
        <v>0</v>
      </c>
      <c r="G63" s="16">
        <f t="shared" si="1"/>
        <v>0</v>
      </c>
      <c r="H63" s="16">
        <f t="shared" si="2"/>
        <v>0</v>
      </c>
      <c r="I63" s="21">
        <f t="shared" si="3"/>
        <v>0</v>
      </c>
    </row>
    <row r="64" spans="1:14" s="15" customFormat="1" x14ac:dyDescent="0.2">
      <c r="A64" s="239"/>
      <c r="B64" s="39"/>
      <c r="C64" s="120"/>
      <c r="D64" s="120"/>
      <c r="E64" s="121"/>
      <c r="F64" s="121">
        <f t="shared" si="6"/>
        <v>0</v>
      </c>
      <c r="G64" s="16">
        <f t="shared" si="1"/>
        <v>0</v>
      </c>
      <c r="H64" s="16">
        <f t="shared" si="2"/>
        <v>0</v>
      </c>
      <c r="I64" s="21">
        <f t="shared" si="3"/>
        <v>0</v>
      </c>
    </row>
    <row r="65" spans="1:14" s="15" customFormat="1" ht="13.5" thickBot="1" x14ac:dyDescent="0.25">
      <c r="A65" s="240"/>
      <c r="B65" s="50"/>
      <c r="C65" s="51"/>
      <c r="D65" s="51"/>
      <c r="E65" s="52"/>
      <c r="F65" s="52">
        <f t="shared" si="4"/>
        <v>0</v>
      </c>
      <c r="G65" s="166">
        <f t="shared" si="1"/>
        <v>0</v>
      </c>
      <c r="H65" s="166">
        <f t="shared" si="2"/>
        <v>0</v>
      </c>
      <c r="I65" s="167">
        <f t="shared" si="3"/>
        <v>0</v>
      </c>
      <c r="M65" s="18"/>
      <c r="N65" s="18"/>
    </row>
    <row r="66" spans="1:14" s="15" customFormat="1" ht="13.5" thickBot="1" x14ac:dyDescent="0.25">
      <c r="A66" s="183"/>
      <c r="B66" s="39"/>
      <c r="D66" s="32" t="s">
        <v>34</v>
      </c>
      <c r="E66" s="19"/>
      <c r="F66" s="19">
        <f>SUM(F14:F65)*0.02</f>
        <v>140.27397199999999</v>
      </c>
      <c r="H66" s="16"/>
      <c r="I66" s="21"/>
      <c r="M66" s="18"/>
      <c r="N66" s="18"/>
    </row>
    <row r="67" spans="1:14" ht="13.5" thickBot="1" x14ac:dyDescent="0.25">
      <c r="A67" s="173" t="s">
        <v>121</v>
      </c>
      <c r="B67" s="173" t="s">
        <v>23</v>
      </c>
      <c r="C67" s="105"/>
      <c r="D67" s="14" t="s">
        <v>13</v>
      </c>
      <c r="E67" s="5"/>
      <c r="F67" s="5">
        <f>SUM(F14:F66)</f>
        <v>7153.9725719999988</v>
      </c>
      <c r="G67" s="5">
        <f>IFERROR(F67/B11,0)</f>
        <v>2.6496194711111105</v>
      </c>
      <c r="H67" s="10" t="s">
        <v>37</v>
      </c>
      <c r="I67" s="31"/>
      <c r="M67" s="1"/>
      <c r="N67" s="1"/>
    </row>
    <row r="68" spans="1:14" x14ac:dyDescent="0.2">
      <c r="A68" s="103" t="str">
        <f>IF($A$77="Yes","No",IF(AND('Take off'!$D$8=0,'Take off'!$B$8&lt;8),"Yes","No"))</f>
        <v>No</v>
      </c>
      <c r="B68" s="104" t="s">
        <v>55</v>
      </c>
      <c r="C68" s="105">
        <v>75</v>
      </c>
      <c r="D68" s="14" t="s">
        <v>58</v>
      </c>
      <c r="E68" s="5"/>
      <c r="F68" s="5">
        <f>IF(G68="Taxable",(SUM(F67)*0.0625),0)</f>
        <v>447.12328574999992</v>
      </c>
      <c r="G68" s="142" t="s">
        <v>150</v>
      </c>
      <c r="I68" s="31"/>
      <c r="K68" s="100">
        <f>IF(OR(A68="y",A68="yes"),C68,0)</f>
        <v>0</v>
      </c>
      <c r="M68" s="1"/>
      <c r="N68" s="1"/>
    </row>
    <row r="69" spans="1:14" ht="13.5" thickBot="1" x14ac:dyDescent="0.25">
      <c r="A69" s="102" t="str">
        <f>IF($A$77="Yes","No",IF(AND('Take off'!$D$8=0,'Take off'!$B$8&gt;=8),"Yes","No"))</f>
        <v>No</v>
      </c>
      <c r="B69" s="66" t="s">
        <v>64</v>
      </c>
      <c r="C69" s="106">
        <v>85</v>
      </c>
      <c r="D69" s="32" t="s">
        <v>195</v>
      </c>
      <c r="E69" s="19"/>
      <c r="F69" s="99">
        <v>265</v>
      </c>
      <c r="I69" s="9"/>
      <c r="K69" s="100">
        <f t="shared" ref="K69:K77" si="9">IF(OR(A69="y",A69="yes"),C69,0)</f>
        <v>0</v>
      </c>
      <c r="M69" s="1"/>
      <c r="N69" s="1"/>
    </row>
    <row r="70" spans="1:14" ht="13.5" thickBot="1" x14ac:dyDescent="0.25">
      <c r="A70" s="64"/>
      <c r="B70" s="65"/>
      <c r="C70" s="106"/>
      <c r="D70" s="63" t="s">
        <v>4</v>
      </c>
      <c r="E70" s="97">
        <f>MAX(K68:K77)</f>
        <v>255</v>
      </c>
      <c r="F70" s="5">
        <f>((C22+C23+(C24/3)+C25+C37+C38+C39+((C19+C20+C26+C27+C35+C36+C40+C41)/5))*E70)+C78</f>
        <v>8160</v>
      </c>
      <c r="G70" s="14" t="s">
        <v>152</v>
      </c>
      <c r="I70" s="31"/>
      <c r="K70" s="100">
        <f t="shared" si="9"/>
        <v>0</v>
      </c>
      <c r="M70" s="1"/>
      <c r="N70" s="1"/>
    </row>
    <row r="71" spans="1:14" s="10" customFormat="1" x14ac:dyDescent="0.2">
      <c r="A71" s="103" t="str">
        <f>IF($A$77="Yes","No",IF(AND('Take off'!$D$8=1,'Take off'!$B$8&lt;8),"Yes","No"))</f>
        <v>No</v>
      </c>
      <c r="B71" s="104" t="s">
        <v>56</v>
      </c>
      <c r="C71" s="106">
        <v>130</v>
      </c>
      <c r="D71" s="55"/>
      <c r="E71" s="56"/>
      <c r="F71" s="56"/>
      <c r="I71" s="40"/>
      <c r="K71" s="100">
        <f t="shared" si="9"/>
        <v>0</v>
      </c>
      <c r="M71" s="22"/>
      <c r="N71" s="22"/>
    </row>
    <row r="72" spans="1:14" s="10" customFormat="1" ht="13.5" thickBot="1" x14ac:dyDescent="0.25">
      <c r="A72" s="102" t="str">
        <f>IF($A$77="Yes","No",IF(AND('Take off'!$D$8=1,'Take off'!$B$8&gt;=8),"Yes","No"))</f>
        <v>No</v>
      </c>
      <c r="B72" s="66" t="s">
        <v>63</v>
      </c>
      <c r="C72" s="106">
        <v>140</v>
      </c>
      <c r="D72" s="32" t="s">
        <v>32</v>
      </c>
      <c r="E72" s="19"/>
      <c r="F72" s="19">
        <v>0</v>
      </c>
      <c r="I72" s="40"/>
      <c r="K72" s="100">
        <f t="shared" si="9"/>
        <v>0</v>
      </c>
      <c r="M72" s="22"/>
      <c r="N72" s="22"/>
    </row>
    <row r="73" spans="1:14" s="10" customFormat="1" ht="13.5" thickBot="1" x14ac:dyDescent="0.25">
      <c r="A73" s="64"/>
      <c r="B73" s="64"/>
      <c r="C73" s="106"/>
      <c r="D73" s="32" t="s">
        <v>144</v>
      </c>
      <c r="E73" s="19"/>
      <c r="F73" s="19">
        <v>0</v>
      </c>
      <c r="G73"/>
      <c r="H73"/>
      <c r="I73" s="9"/>
      <c r="K73" s="100">
        <f t="shared" si="9"/>
        <v>0</v>
      </c>
      <c r="M73" s="22"/>
      <c r="N73" s="22"/>
    </row>
    <row r="74" spans="1:14" s="10" customFormat="1" x14ac:dyDescent="0.2">
      <c r="A74" s="103" t="s">
        <v>167</v>
      </c>
      <c r="B74" s="104" t="s">
        <v>57</v>
      </c>
      <c r="C74" s="106">
        <v>150</v>
      </c>
      <c r="D74" s="36" t="s">
        <v>149</v>
      </c>
      <c r="E74" s="172" t="s">
        <v>167</v>
      </c>
      <c r="F74" s="28">
        <f>IF(E74="Yes",500,0)</f>
        <v>0</v>
      </c>
      <c r="G74" s="27"/>
      <c r="H74" s="27"/>
      <c r="I74" s="29"/>
      <c r="K74" s="100">
        <f t="shared" si="9"/>
        <v>0</v>
      </c>
      <c r="M74" s="22"/>
      <c r="N74" s="22"/>
    </row>
    <row r="75" spans="1:14" ht="13.5" thickBot="1" x14ac:dyDescent="0.25">
      <c r="A75" s="102" t="s">
        <v>187</v>
      </c>
      <c r="B75" s="66" t="s">
        <v>194</v>
      </c>
      <c r="C75" s="106">
        <v>255</v>
      </c>
      <c r="D75" s="32" t="s">
        <v>147</v>
      </c>
      <c r="E75" s="19"/>
      <c r="F75" s="19">
        <f>(A80*C80)+(A81*C81)+(A82*C82)+(A83*C83)</f>
        <v>2850</v>
      </c>
      <c r="G75" s="15"/>
      <c r="H75" s="15"/>
      <c r="I75" s="17"/>
      <c r="K75" s="100">
        <f t="shared" si="9"/>
        <v>255</v>
      </c>
      <c r="M75" s="1"/>
      <c r="N75" s="1"/>
    </row>
    <row r="76" spans="1:14" ht="13.5" thickBot="1" x14ac:dyDescent="0.25">
      <c r="A76" s="64"/>
      <c r="B76" s="64"/>
      <c r="C76" s="106"/>
      <c r="D76" s="32" t="s">
        <v>148</v>
      </c>
      <c r="E76" s="19"/>
      <c r="F76" s="19">
        <v>0</v>
      </c>
      <c r="G76" s="67"/>
      <c r="H76" s="10"/>
      <c r="I76" s="40"/>
      <c r="K76" s="100">
        <f t="shared" si="9"/>
        <v>0</v>
      </c>
      <c r="M76" s="1"/>
      <c r="N76" s="1"/>
    </row>
    <row r="77" spans="1:14" ht="13.5" thickBot="1" x14ac:dyDescent="0.25">
      <c r="A77" s="184" t="str">
        <f>IF(C77&gt;0,"Yes","No")</f>
        <v>No</v>
      </c>
      <c r="B77" s="185" t="s">
        <v>129</v>
      </c>
      <c r="C77" s="107">
        <v>0</v>
      </c>
      <c r="D77" s="36" t="s">
        <v>151</v>
      </c>
      <c r="E77" s="172" t="s">
        <v>182</v>
      </c>
      <c r="F77" s="28">
        <f>IF($E$77="GAF System Plus",80,IF($E$77="GAF Golden Pledge",ROUNDUP(($B$11*1.15/100),0)*11,IF($E$77="CertainTeed 3 Star",ROUNDUP(($B$11*1.15/100),0)*2,IF($E$77="CertainTeed 5 Star",ROUNDUP(($B$11*1.15/100),0)*10,0))))</f>
        <v>352</v>
      </c>
      <c r="G77" s="27"/>
      <c r="H77" s="27"/>
      <c r="I77" s="57">
        <f>F77*1.4</f>
        <v>492.79999999999995</v>
      </c>
      <c r="K77" s="100">
        <f t="shared" si="9"/>
        <v>0</v>
      </c>
      <c r="M77" s="1"/>
      <c r="N77" s="1"/>
    </row>
    <row r="78" spans="1:14" s="10" customFormat="1" ht="13.5" thickBot="1" x14ac:dyDescent="0.25">
      <c r="A78" s="64"/>
      <c r="B78" s="66" t="s">
        <v>130</v>
      </c>
      <c r="C78" s="107">
        <v>0</v>
      </c>
      <c r="D78" s="36"/>
      <c r="E78" s="19"/>
      <c r="F78" s="28"/>
      <c r="G78" s="27"/>
      <c r="H78" s="27"/>
      <c r="I78" s="57"/>
      <c r="K78" s="27"/>
    </row>
    <row r="79" spans="1:14" s="27" customFormat="1" ht="13.5" thickBot="1" x14ac:dyDescent="0.25">
      <c r="A79" s="174" t="s">
        <v>122</v>
      </c>
      <c r="B79" s="174" t="s">
        <v>147</v>
      </c>
      <c r="C79" s="196" t="s">
        <v>174</v>
      </c>
      <c r="D79" s="63" t="s">
        <v>184</v>
      </c>
      <c r="E79" s="19"/>
      <c r="F79" s="54">
        <f>SUM(F67:F78)</f>
        <v>19228.095857749999</v>
      </c>
      <c r="G79" s="19">
        <f>IFERROR(SUM(F79/B11),0)</f>
        <v>7.1215169843518513</v>
      </c>
      <c r="H79" s="10" t="s">
        <v>37</v>
      </c>
      <c r="I79" s="40"/>
    </row>
    <row r="80" spans="1:14" s="27" customFormat="1" x14ac:dyDescent="0.2">
      <c r="A80" s="103">
        <f>IF(AND(('Take off'!D11/100)*'Take off'!D8&lt;=25,('Take off'!D11/100)*'Take off'!D8&gt;0),1,0)</f>
        <v>0</v>
      </c>
      <c r="B80" s="104" t="s">
        <v>177</v>
      </c>
      <c r="C80" s="106">
        <f>IF($C$79="Central MA",575,625)</f>
        <v>625</v>
      </c>
      <c r="D80" s="32"/>
      <c r="E80" s="19"/>
      <c r="F80" s="54"/>
      <c r="G80" s="19"/>
      <c r="H80" s="10"/>
      <c r="I80" s="40"/>
    </row>
    <row r="81" spans="1:14" s="27" customFormat="1" x14ac:dyDescent="0.2">
      <c r="A81" s="197">
        <v>0</v>
      </c>
      <c r="B81" s="64" t="s">
        <v>175</v>
      </c>
      <c r="C81" s="106">
        <f>IF($C$79="Central MA",650,850)</f>
        <v>850</v>
      </c>
      <c r="D81" s="32"/>
      <c r="E81" s="19"/>
      <c r="F81" s="54"/>
      <c r="G81" s="19"/>
      <c r="H81" s="10"/>
      <c r="I81" s="40"/>
    </row>
    <row r="82" spans="1:14" s="27" customFormat="1" x14ac:dyDescent="0.2">
      <c r="A82" s="197">
        <v>3</v>
      </c>
      <c r="B82" s="64" t="s">
        <v>176</v>
      </c>
      <c r="C82" s="106">
        <f>IF($C$79="Central MA",750,950)</f>
        <v>950</v>
      </c>
      <c r="D82" s="32"/>
      <c r="E82" s="19"/>
      <c r="F82" s="54"/>
      <c r="G82" s="19"/>
      <c r="H82" s="10"/>
      <c r="I82" s="40"/>
      <c r="K82" s="15"/>
    </row>
    <row r="83" spans="1:14" s="27" customFormat="1" ht="13.5" thickBot="1" x14ac:dyDescent="0.25">
      <c r="A83" s="102">
        <v>0</v>
      </c>
      <c r="B83" s="66" t="s">
        <v>178</v>
      </c>
      <c r="C83" s="106">
        <f>IF($C$79="Central MA",130,130)</f>
        <v>130</v>
      </c>
      <c r="D83" s="235" t="s">
        <v>5</v>
      </c>
      <c r="E83" s="235"/>
      <c r="F83" s="68">
        <f>SUM(F79)*1.4</f>
        <v>26919.334200849997</v>
      </c>
      <c r="G83" s="141">
        <f>IFERROR(SUM(F83/B11),0)</f>
        <v>9.9701237780925922</v>
      </c>
      <c r="H83" s="70" t="s">
        <v>37</v>
      </c>
      <c r="I83" s="69" t="s">
        <v>145</v>
      </c>
      <c r="K83" s="10"/>
    </row>
    <row r="84" spans="1:14" s="15" customFormat="1" ht="13.5" thickBot="1" x14ac:dyDescent="0.25">
      <c r="A84" s="173" t="s">
        <v>161</v>
      </c>
      <c r="B84" s="173" t="s">
        <v>162</v>
      </c>
      <c r="C84" s="1"/>
      <c r="D84" s="236"/>
      <c r="E84" s="236"/>
      <c r="F84" s="137"/>
      <c r="G84" s="138"/>
      <c r="H84" s="139"/>
      <c r="I84" s="140"/>
      <c r="K84"/>
    </row>
    <row r="85" spans="1:14" s="10" customFormat="1" ht="13.5" thickBot="1" x14ac:dyDescent="0.25">
      <c r="A85" s="180" t="s">
        <v>188</v>
      </c>
      <c r="B85" s="66" t="s">
        <v>163</v>
      </c>
      <c r="C85" s="179"/>
      <c r="D85" s="237" t="s">
        <v>42</v>
      </c>
      <c r="E85" s="237"/>
      <c r="F85" s="175">
        <f>SUM(F79)*1.37</f>
        <v>26342.491325117498</v>
      </c>
      <c r="G85" s="176">
        <f>IFERROR(SUM(F85/B11),0)</f>
        <v>9.7564782685620361</v>
      </c>
      <c r="H85" s="177" t="s">
        <v>37</v>
      </c>
      <c r="I85" s="178" t="s">
        <v>146</v>
      </c>
      <c r="K85"/>
    </row>
    <row r="86" spans="1:14" x14ac:dyDescent="0.2">
      <c r="B86" s="14"/>
      <c r="C86" s="1"/>
      <c r="D86" s="14"/>
      <c r="E86" s="5"/>
      <c r="F86" s="6"/>
      <c r="G86" s="5"/>
      <c r="H86" s="10"/>
      <c r="M86" s="1"/>
      <c r="N86" s="1"/>
    </row>
    <row r="87" spans="1:14" hidden="1" outlineLevel="1" x14ac:dyDescent="0.2">
      <c r="B87" s="14"/>
      <c r="C87" s="1"/>
      <c r="D87" s="14"/>
      <c r="E87" s="5"/>
      <c r="F87" s="6"/>
      <c r="G87" s="5"/>
      <c r="H87" s="10"/>
      <c r="M87" s="1"/>
      <c r="N87" s="1"/>
    </row>
    <row r="88" spans="1:14" hidden="1" outlineLevel="1" x14ac:dyDescent="0.2">
      <c r="B88" s="14" t="s">
        <v>61</v>
      </c>
      <c r="C88" s="1">
        <v>3.25</v>
      </c>
      <c r="D88" s="45" t="s">
        <v>62</v>
      </c>
      <c r="E88" s="5"/>
      <c r="F88" s="6">
        <f>IF(F83=0,0,F83*(C88/100)+4.32)</f>
        <v>879.19836152762502</v>
      </c>
      <c r="G88" s="5"/>
      <c r="H88" s="10"/>
      <c r="M88" s="1"/>
      <c r="N88" s="1"/>
    </row>
    <row r="89" spans="1:14" hidden="1" outlineLevel="1" x14ac:dyDescent="0.2">
      <c r="C89" s="143"/>
      <c r="D89" s="144" t="s">
        <v>60</v>
      </c>
      <c r="E89" s="145"/>
      <c r="F89" s="146">
        <f>F83+F88</f>
        <v>27798.532562377623</v>
      </c>
      <c r="G89" s="5"/>
      <c r="H89" s="10"/>
      <c r="M89" s="1"/>
      <c r="N89" s="1"/>
    </row>
    <row r="90" spans="1:14" hidden="1" outlineLevel="1" x14ac:dyDescent="0.2">
      <c r="A90" s="34" t="s">
        <v>128</v>
      </c>
      <c r="B90" s="34"/>
      <c r="C90" s="1"/>
      <c r="E90" s="5"/>
      <c r="F90" s="5"/>
      <c r="M90" s="1"/>
      <c r="N90" s="1"/>
    </row>
    <row r="91" spans="1:14" hidden="1" outlineLevel="1" x14ac:dyDescent="0.2">
      <c r="C91" s="232" t="s">
        <v>45</v>
      </c>
      <c r="D91" s="58" t="s">
        <v>44</v>
      </c>
      <c r="E91" s="59"/>
      <c r="F91" s="59">
        <f>((F79*1.45)-(F75+F68))*0.0635</f>
        <v>1561.0595974572061</v>
      </c>
      <c r="G91" s="8"/>
      <c r="M91" s="1"/>
      <c r="N91" s="1"/>
    </row>
    <row r="92" spans="1:14" hidden="1" outlineLevel="1" x14ac:dyDescent="0.2">
      <c r="C92" s="233"/>
      <c r="D92" s="14"/>
      <c r="E92" s="5"/>
      <c r="F92" s="5"/>
      <c r="G92" s="9"/>
      <c r="M92" s="1"/>
      <c r="N92" s="1"/>
    </row>
    <row r="93" spans="1:14" ht="13.5" hidden="1" outlineLevel="1" thickBot="1" x14ac:dyDescent="0.25">
      <c r="C93" s="234"/>
      <c r="D93" s="60" t="s">
        <v>43</v>
      </c>
      <c r="E93" s="61"/>
      <c r="F93" s="61">
        <f>F85+F91</f>
        <v>27903.550922574705</v>
      </c>
      <c r="G93" s="62">
        <f>IFERROR(F93/B11,0)</f>
        <v>10.334648489842483</v>
      </c>
      <c r="H93" s="10" t="s">
        <v>37</v>
      </c>
      <c r="M93" s="1"/>
      <c r="N93" s="1"/>
    </row>
    <row r="94" spans="1:14" collapsed="1" x14ac:dyDescent="0.2">
      <c r="C94" s="98" t="s">
        <v>105</v>
      </c>
      <c r="D94" s="14"/>
      <c r="E94" s="5"/>
      <c r="F94" s="5"/>
      <c r="I94" s="10"/>
      <c r="M94" s="1"/>
      <c r="N94" s="1"/>
    </row>
    <row r="95" spans="1:14" x14ac:dyDescent="0.2">
      <c r="C95" s="1"/>
      <c r="E95" s="5"/>
      <c r="F95" s="5"/>
      <c r="M95" s="1"/>
      <c r="N95" s="1"/>
    </row>
    <row r="96" spans="1:14" x14ac:dyDescent="0.2">
      <c r="B96" s="63"/>
      <c r="C96" s="122"/>
      <c r="D96" s="120"/>
      <c r="E96" s="121"/>
      <c r="F96" s="121"/>
      <c r="M96" s="1"/>
      <c r="N96" s="1"/>
    </row>
    <row r="97" spans="2:14" x14ac:dyDescent="0.2">
      <c r="B97" s="123"/>
      <c r="C97" s="124"/>
      <c r="D97" s="123"/>
      <c r="E97" s="125"/>
      <c r="F97" s="125"/>
      <c r="M97" s="1"/>
      <c r="N97" s="1"/>
    </row>
    <row r="98" spans="2:14" x14ac:dyDescent="0.2">
      <c r="B98" s="126"/>
      <c r="C98" s="127"/>
      <c r="D98" s="126"/>
      <c r="E98" s="128"/>
      <c r="F98" s="128"/>
      <c r="M98" s="1"/>
      <c r="N98" s="1"/>
    </row>
    <row r="99" spans="2:14" x14ac:dyDescent="0.2">
      <c r="B99" s="120"/>
      <c r="C99" s="122"/>
      <c r="D99" s="120"/>
      <c r="E99" s="121"/>
      <c r="F99" s="121"/>
      <c r="M99" s="1"/>
      <c r="N99" s="1"/>
    </row>
    <row r="100" spans="2:14" x14ac:dyDescent="0.2">
      <c r="B100" s="120"/>
      <c r="C100" s="122"/>
      <c r="D100" s="120"/>
      <c r="E100" s="121"/>
      <c r="F100" s="121"/>
      <c r="M100" s="1"/>
      <c r="N100" s="1"/>
    </row>
    <row r="101" spans="2:14" x14ac:dyDescent="0.2">
      <c r="B101" s="120"/>
      <c r="C101" s="122"/>
      <c r="D101" s="120"/>
      <c r="E101" s="121"/>
      <c r="F101" s="121"/>
      <c r="M101" s="1"/>
      <c r="N101" s="1"/>
    </row>
    <row r="102" spans="2:14" x14ac:dyDescent="0.2">
      <c r="B102" s="120"/>
      <c r="C102" s="122"/>
      <c r="D102" s="120"/>
      <c r="E102" s="121"/>
      <c r="F102" s="121"/>
      <c r="M102" s="1"/>
      <c r="N102" s="1"/>
    </row>
    <row r="103" spans="2:14" x14ac:dyDescent="0.2">
      <c r="B103" s="120"/>
      <c r="C103" s="122"/>
      <c r="D103" s="120"/>
      <c r="E103" s="121"/>
      <c r="F103" s="121"/>
      <c r="M103" s="1"/>
      <c r="N103" s="1"/>
    </row>
    <row r="104" spans="2:14" x14ac:dyDescent="0.2">
      <c r="B104" s="120"/>
      <c r="C104" s="122"/>
      <c r="D104" s="120"/>
      <c r="E104" s="121"/>
      <c r="F104" s="121"/>
      <c r="M104" s="1"/>
      <c r="N104" s="1"/>
    </row>
    <row r="105" spans="2:14" x14ac:dyDescent="0.2">
      <c r="B105" s="120"/>
      <c r="C105" s="122"/>
      <c r="D105" s="120"/>
      <c r="E105" s="121"/>
      <c r="F105" s="121"/>
      <c r="M105" s="1"/>
      <c r="N105" s="1"/>
    </row>
    <row r="106" spans="2:14" x14ac:dyDescent="0.2">
      <c r="B106" s="120"/>
      <c r="C106" s="122"/>
      <c r="D106" s="120"/>
      <c r="E106" s="121"/>
      <c r="F106" s="121"/>
      <c r="M106" s="1"/>
      <c r="N106" s="1"/>
    </row>
    <row r="107" spans="2:14" x14ac:dyDescent="0.2">
      <c r="B107" s="120"/>
      <c r="C107" s="122"/>
      <c r="D107" s="120"/>
      <c r="E107" s="121"/>
      <c r="F107" s="121"/>
      <c r="M107" s="1"/>
      <c r="N107" s="1"/>
    </row>
    <row r="108" spans="2:14" x14ac:dyDescent="0.2">
      <c r="B108" s="120"/>
      <c r="C108" s="122"/>
      <c r="D108" s="120"/>
      <c r="E108" s="121"/>
      <c r="F108" s="121"/>
      <c r="M108" s="1"/>
      <c r="N108" s="1"/>
    </row>
    <row r="109" spans="2:14" x14ac:dyDescent="0.2">
      <c r="B109" s="120"/>
      <c r="C109" s="122"/>
      <c r="D109" s="120"/>
      <c r="E109" s="129"/>
      <c r="F109" s="56"/>
      <c r="M109" s="1"/>
      <c r="N109" s="1"/>
    </row>
    <row r="110" spans="2:14" x14ac:dyDescent="0.2">
      <c r="B110" s="120"/>
      <c r="C110" s="122"/>
      <c r="D110" s="120"/>
      <c r="E110" s="129"/>
      <c r="F110" s="56"/>
      <c r="M110" s="1"/>
      <c r="N110" s="1"/>
    </row>
    <row r="111" spans="2:14" x14ac:dyDescent="0.2">
      <c r="B111" s="120"/>
      <c r="C111" s="122"/>
      <c r="D111" s="120"/>
      <c r="E111" s="56"/>
      <c r="F111" s="56"/>
      <c r="M111" s="1"/>
      <c r="N111" s="1"/>
    </row>
    <row r="112" spans="2:14" x14ac:dyDescent="0.2">
      <c r="B112" s="120"/>
      <c r="C112" s="122"/>
      <c r="D112" s="120"/>
      <c r="E112" s="56"/>
      <c r="F112" s="56"/>
      <c r="M112" s="1"/>
      <c r="N112" s="1"/>
    </row>
    <row r="113" spans="1:14" x14ac:dyDescent="0.2">
      <c r="C113" s="1"/>
      <c r="E113" s="5"/>
      <c r="F113" s="5"/>
      <c r="M113" s="1"/>
      <c r="N113" s="1"/>
    </row>
    <row r="114" spans="1:14" x14ac:dyDescent="0.2">
      <c r="C114" s="1"/>
      <c r="E114" s="5"/>
      <c r="F114" s="5"/>
      <c r="M114" s="1"/>
      <c r="N114" s="1"/>
    </row>
    <row r="115" spans="1:14" x14ac:dyDescent="0.2">
      <c r="B115" s="34"/>
      <c r="C115" s="130"/>
      <c r="D115" s="32"/>
      <c r="E115" s="131"/>
      <c r="F115" s="131"/>
      <c r="G115" s="32"/>
      <c r="H115" s="32"/>
      <c r="I115" s="32"/>
      <c r="M115" s="1"/>
      <c r="N115" s="1"/>
    </row>
    <row r="116" spans="1:14" x14ac:dyDescent="0.2">
      <c r="A116" s="46"/>
      <c r="B116" s="32"/>
      <c r="C116" s="10"/>
      <c r="D116" s="10"/>
      <c r="E116" s="19"/>
      <c r="F116" s="19"/>
      <c r="G116" s="19"/>
      <c r="H116" s="19"/>
      <c r="I116" s="19"/>
      <c r="M116" s="1"/>
      <c r="N116" s="1"/>
    </row>
    <row r="117" spans="1:14" x14ac:dyDescent="0.2">
      <c r="A117" s="46"/>
      <c r="B117" s="32"/>
      <c r="C117" s="11"/>
      <c r="D117" s="10"/>
      <c r="E117" s="19"/>
      <c r="F117" s="19"/>
      <c r="G117" s="19"/>
      <c r="H117" s="19"/>
      <c r="I117" s="19"/>
      <c r="K117" s="46"/>
      <c r="M117" s="1"/>
      <c r="N117" s="1"/>
    </row>
    <row r="118" spans="1:14" x14ac:dyDescent="0.2">
      <c r="A118" s="27"/>
      <c r="B118" s="32"/>
      <c r="C118" s="11"/>
      <c r="D118" s="10"/>
      <c r="E118" s="19"/>
      <c r="F118" s="19"/>
      <c r="G118" s="19"/>
      <c r="H118" s="19"/>
      <c r="I118" s="19"/>
      <c r="K118" s="46"/>
      <c r="M118" s="1"/>
      <c r="N118" s="1"/>
    </row>
    <row r="119" spans="1:14" s="46" customFormat="1" x14ac:dyDescent="0.2">
      <c r="A119" s="44"/>
      <c r="B119" s="32"/>
      <c r="C119" s="10"/>
      <c r="D119" s="10"/>
      <c r="E119" s="19"/>
      <c r="F119" s="19"/>
      <c r="G119" s="10"/>
      <c r="H119" s="19"/>
      <c r="I119" s="19"/>
      <c r="K119" s="27"/>
    </row>
    <row r="120" spans="1:14" s="46" customFormat="1" x14ac:dyDescent="0.2">
      <c r="A120"/>
      <c r="B120" s="10"/>
      <c r="C120" s="11"/>
      <c r="D120" s="10"/>
      <c r="E120" s="19"/>
      <c r="F120" s="19"/>
      <c r="G120" s="19"/>
      <c r="H120" s="19"/>
      <c r="I120" s="132"/>
      <c r="K120" s="44"/>
      <c r="M120" s="47"/>
      <c r="N120" s="47"/>
    </row>
    <row r="121" spans="1:14" s="27" customFormat="1" x14ac:dyDescent="0.2">
      <c r="A121"/>
      <c r="B121" s="10"/>
      <c r="C121" s="11"/>
      <c r="D121" s="10"/>
      <c r="E121" s="19"/>
      <c r="F121" s="19"/>
      <c r="G121" s="19"/>
      <c r="H121" s="19"/>
      <c r="I121" s="132"/>
      <c r="K121" s="2"/>
      <c r="M121" s="43"/>
      <c r="N121" s="43"/>
    </row>
    <row r="122" spans="1:14" s="44" customFormat="1" x14ac:dyDescent="0.2">
      <c r="A122"/>
      <c r="B122" s="10"/>
      <c r="C122" s="11"/>
      <c r="D122" s="10"/>
      <c r="E122" s="19"/>
      <c r="F122" s="19"/>
      <c r="G122" s="19"/>
      <c r="H122" s="19"/>
      <c r="I122" s="132"/>
      <c r="K122" s="2"/>
    </row>
    <row r="123" spans="1:14" x14ac:dyDescent="0.2">
      <c r="B123" s="133"/>
      <c r="C123" s="134"/>
      <c r="D123" s="32"/>
      <c r="E123" s="131"/>
      <c r="F123" s="131"/>
      <c r="G123" s="32"/>
      <c r="H123" s="32"/>
      <c r="I123" s="32"/>
      <c r="J123" s="5"/>
      <c r="K123" s="2"/>
      <c r="M123" s="1"/>
      <c r="N123" s="1"/>
    </row>
    <row r="124" spans="1:14" x14ac:dyDescent="0.2">
      <c r="B124" s="32"/>
      <c r="C124" s="135"/>
      <c r="D124" s="10"/>
      <c r="E124" s="19"/>
      <c r="F124" s="19"/>
      <c r="G124" s="19"/>
      <c r="H124" s="19"/>
      <c r="I124" s="19"/>
      <c r="J124" s="5"/>
      <c r="K124" s="2"/>
      <c r="M124" s="1"/>
      <c r="N124" s="1"/>
    </row>
    <row r="125" spans="1:14" x14ac:dyDescent="0.2">
      <c r="B125" s="32"/>
      <c r="C125" s="10"/>
      <c r="D125" s="10"/>
      <c r="E125" s="19"/>
      <c r="F125" s="136"/>
      <c r="G125" s="19"/>
      <c r="H125" s="19"/>
      <c r="I125" s="19"/>
      <c r="J125" s="5"/>
      <c r="M125" s="1"/>
      <c r="N125" s="1"/>
    </row>
    <row r="126" spans="1:14" x14ac:dyDescent="0.2">
      <c r="B126" s="32"/>
      <c r="C126" s="10"/>
      <c r="D126" s="10"/>
      <c r="E126" s="19"/>
      <c r="F126" s="19"/>
      <c r="G126" s="19"/>
      <c r="H126" s="19"/>
      <c r="I126" s="132"/>
      <c r="M126" s="1"/>
      <c r="N126" s="1"/>
    </row>
    <row r="127" spans="1:14" x14ac:dyDescent="0.2">
      <c r="B127" s="32"/>
      <c r="C127" s="10"/>
      <c r="D127" s="10"/>
      <c r="E127" s="19"/>
      <c r="F127" s="19"/>
      <c r="G127" s="19"/>
      <c r="H127" s="19"/>
      <c r="I127" s="19"/>
      <c r="M127" s="1"/>
      <c r="N127" s="1"/>
    </row>
    <row r="128" spans="1:14" x14ac:dyDescent="0.2">
      <c r="B128" s="25"/>
      <c r="C128" s="15"/>
      <c r="D128" s="15"/>
      <c r="E128" s="16"/>
      <c r="F128" s="16"/>
      <c r="G128" s="16"/>
      <c r="H128" s="16"/>
      <c r="I128" s="16"/>
    </row>
    <row r="129" spans="1:14" x14ac:dyDescent="0.2">
      <c r="C129" s="10"/>
      <c r="E129" s="5"/>
      <c r="F129" s="5"/>
    </row>
    <row r="130" spans="1:14" x14ac:dyDescent="0.2">
      <c r="E130" s="19"/>
      <c r="F130" s="5"/>
    </row>
    <row r="131" spans="1:14" x14ac:dyDescent="0.2">
      <c r="C131" s="10"/>
      <c r="E131" s="5"/>
      <c r="F131" s="5"/>
    </row>
    <row r="132" spans="1:14" x14ac:dyDescent="0.2">
      <c r="B132" s="15"/>
      <c r="C132" s="10"/>
      <c r="E132" s="5"/>
      <c r="F132" s="5"/>
      <c r="M132" s="1"/>
      <c r="N132" s="1"/>
    </row>
    <row r="133" spans="1:14" x14ac:dyDescent="0.2">
      <c r="B133" s="15"/>
      <c r="C133" s="15"/>
      <c r="D133" s="15"/>
      <c r="E133" s="16"/>
      <c r="F133" s="16"/>
      <c r="G133" s="15"/>
      <c r="H133" s="15"/>
      <c r="I133" s="15"/>
      <c r="M133" s="1"/>
      <c r="N133" s="1"/>
    </row>
    <row r="134" spans="1:14" x14ac:dyDescent="0.2">
      <c r="B134" s="15"/>
      <c r="C134" s="15"/>
      <c r="D134" s="15"/>
      <c r="E134" s="16"/>
      <c r="F134" s="16"/>
      <c r="G134" s="15"/>
      <c r="H134" s="15"/>
      <c r="I134" s="15"/>
      <c r="M134" s="1"/>
      <c r="N134" s="1"/>
    </row>
    <row r="135" spans="1:14" x14ac:dyDescent="0.2">
      <c r="B135" s="15"/>
      <c r="C135" s="15"/>
      <c r="D135" s="15"/>
      <c r="E135" s="16"/>
      <c r="F135" s="16"/>
      <c r="G135" s="15"/>
      <c r="H135" s="15"/>
      <c r="I135" s="15"/>
      <c r="M135" s="1"/>
      <c r="N135" s="1"/>
    </row>
    <row r="136" spans="1:14" x14ac:dyDescent="0.2">
      <c r="B136" s="15"/>
      <c r="C136" s="15"/>
      <c r="D136" s="15"/>
      <c r="E136" s="16"/>
      <c r="F136" s="16"/>
      <c r="N136" s="1"/>
    </row>
    <row r="137" spans="1:14" x14ac:dyDescent="0.2">
      <c r="B137" s="15"/>
      <c r="C137" s="15"/>
      <c r="D137" s="15"/>
      <c r="E137" s="16"/>
      <c r="F137" s="16"/>
      <c r="G137" s="15"/>
      <c r="H137" s="15"/>
      <c r="I137" s="15"/>
      <c r="K137" s="1"/>
      <c r="M137" s="1"/>
      <c r="N137" s="1"/>
    </row>
    <row r="138" spans="1:14" x14ac:dyDescent="0.2">
      <c r="C138" s="20"/>
      <c r="D138" s="15"/>
      <c r="E138" s="16"/>
      <c r="F138" s="16"/>
      <c r="G138" s="16"/>
      <c r="H138" s="16"/>
      <c r="I138" s="16"/>
      <c r="K138" s="1"/>
      <c r="N138" s="3"/>
    </row>
    <row r="139" spans="1:14" x14ac:dyDescent="0.2">
      <c r="B139" s="15"/>
      <c r="C139" s="11"/>
      <c r="E139" s="19"/>
      <c r="F139" s="5"/>
      <c r="G139" s="5"/>
      <c r="H139" s="5"/>
      <c r="I139" s="5"/>
      <c r="K139" s="1"/>
      <c r="N139" s="1"/>
    </row>
    <row r="140" spans="1:14" x14ac:dyDescent="0.2">
      <c r="C140" s="20"/>
      <c r="D140" s="15"/>
      <c r="E140" s="16"/>
      <c r="F140" s="16"/>
      <c r="G140" s="16"/>
      <c r="H140" s="16"/>
      <c r="I140" s="16"/>
      <c r="K140" s="1"/>
      <c r="N140" s="1"/>
    </row>
    <row r="141" spans="1:14" x14ac:dyDescent="0.2">
      <c r="B141" s="15"/>
      <c r="C141" s="10"/>
      <c r="E141" s="5"/>
      <c r="F141" s="5"/>
      <c r="K141" s="1"/>
      <c r="N141" s="4"/>
    </row>
    <row r="142" spans="1:14" x14ac:dyDescent="0.2">
      <c r="B142" s="15"/>
      <c r="C142" s="15"/>
      <c r="D142" s="15"/>
      <c r="E142" s="16"/>
      <c r="F142" s="16"/>
      <c r="G142" s="15"/>
      <c r="H142" s="15"/>
      <c r="I142" s="15"/>
      <c r="N142" s="4"/>
    </row>
    <row r="143" spans="1:14" x14ac:dyDescent="0.2">
      <c r="B143" s="15"/>
      <c r="C143" s="15"/>
      <c r="D143" s="15"/>
      <c r="E143" s="16"/>
      <c r="F143" s="16"/>
      <c r="G143" s="15"/>
      <c r="H143" s="15"/>
      <c r="I143" s="15"/>
      <c r="N143" s="4"/>
    </row>
    <row r="144" spans="1:14" x14ac:dyDescent="0.2">
      <c r="A144" s="10"/>
      <c r="C144" s="15"/>
      <c r="D144" s="15"/>
      <c r="E144" s="16"/>
      <c r="F144" s="16"/>
      <c r="G144" s="15"/>
      <c r="H144" s="15"/>
      <c r="I144" s="15"/>
    </row>
    <row r="145" spans="1:14" x14ac:dyDescent="0.2">
      <c r="A145" s="10"/>
      <c r="B145" s="15"/>
      <c r="C145" s="11"/>
      <c r="E145" s="5"/>
      <c r="F145" s="5"/>
      <c r="K145" s="10"/>
    </row>
    <row r="146" spans="1:14" x14ac:dyDescent="0.2">
      <c r="B146" s="15"/>
      <c r="C146" s="15"/>
      <c r="D146" s="15"/>
      <c r="E146" s="16"/>
      <c r="F146" s="16"/>
      <c r="G146" s="15"/>
      <c r="H146" s="15"/>
      <c r="I146" s="15"/>
      <c r="K146" s="10"/>
    </row>
    <row r="147" spans="1:14" s="10" customFormat="1" x14ac:dyDescent="0.2">
      <c r="A147"/>
      <c r="B147" s="15"/>
      <c r="C147" s="15"/>
      <c r="D147" s="15"/>
      <c r="E147" s="16"/>
      <c r="F147" s="16"/>
      <c r="G147" s="15"/>
      <c r="H147" s="15"/>
      <c r="I147" s="15"/>
      <c r="K147"/>
    </row>
    <row r="148" spans="1:14" s="10" customFormat="1" x14ac:dyDescent="0.2">
      <c r="A148"/>
      <c r="C148" s="20"/>
      <c r="D148" s="15"/>
      <c r="E148" s="16"/>
      <c r="F148" s="16"/>
      <c r="G148" s="15"/>
      <c r="H148" s="15"/>
      <c r="I148" s="15"/>
      <c r="K148"/>
    </row>
    <row r="149" spans="1:14" x14ac:dyDescent="0.2">
      <c r="B149" s="15"/>
      <c r="C149" s="10"/>
      <c r="D149" s="10"/>
      <c r="E149" s="19"/>
      <c r="F149" s="19"/>
      <c r="G149" s="19"/>
      <c r="H149" s="19"/>
      <c r="I149" s="19"/>
      <c r="M149" s="1"/>
      <c r="N149" s="1"/>
    </row>
    <row r="150" spans="1:14" x14ac:dyDescent="0.2">
      <c r="B150" s="15"/>
      <c r="C150" s="15"/>
      <c r="D150" s="15"/>
      <c r="E150" s="16"/>
      <c r="F150" s="16"/>
      <c r="G150" s="16"/>
      <c r="H150" s="16"/>
      <c r="I150" s="16"/>
    </row>
    <row r="151" spans="1:14" x14ac:dyDescent="0.2">
      <c r="B151" s="10"/>
      <c r="C151" s="15"/>
      <c r="D151" s="15"/>
      <c r="E151" s="16"/>
      <c r="F151" s="16"/>
      <c r="G151" s="15"/>
      <c r="H151" s="16"/>
      <c r="I151" s="16"/>
    </row>
    <row r="152" spans="1:14" x14ac:dyDescent="0.2">
      <c r="B152" s="15"/>
      <c r="C152" s="10"/>
      <c r="D152" s="10"/>
      <c r="E152" s="19"/>
      <c r="F152" s="19"/>
      <c r="G152" s="19"/>
      <c r="H152" s="19"/>
      <c r="I152" s="19"/>
    </row>
    <row r="153" spans="1:14" x14ac:dyDescent="0.2">
      <c r="B153" s="15"/>
      <c r="C153" s="15"/>
      <c r="D153" s="15"/>
      <c r="E153" s="16"/>
      <c r="F153" s="16"/>
      <c r="G153" s="15"/>
      <c r="H153" s="15"/>
      <c r="I153" s="15"/>
    </row>
    <row r="154" spans="1:14" x14ac:dyDescent="0.2">
      <c r="B154" s="15"/>
      <c r="C154" s="15"/>
      <c r="D154" s="15"/>
      <c r="E154" s="16"/>
      <c r="F154" s="16"/>
      <c r="G154" s="15"/>
      <c r="H154" s="15"/>
      <c r="I154" s="15"/>
    </row>
    <row r="155" spans="1:14" x14ac:dyDescent="0.2">
      <c r="B155" s="15"/>
      <c r="C155" s="15"/>
      <c r="D155" s="15"/>
      <c r="E155" s="16"/>
      <c r="F155" s="16"/>
      <c r="G155" s="15"/>
      <c r="H155" s="15"/>
      <c r="I155" s="15"/>
    </row>
    <row r="156" spans="1:14" x14ac:dyDescent="0.2">
      <c r="B156" s="15"/>
      <c r="C156" s="15"/>
      <c r="D156" s="15"/>
      <c r="E156" s="16"/>
      <c r="F156" s="16"/>
      <c r="G156" s="15"/>
      <c r="H156" s="15"/>
      <c r="I156" s="15"/>
    </row>
    <row r="157" spans="1:14" x14ac:dyDescent="0.2">
      <c r="B157" s="15"/>
      <c r="C157" s="15"/>
      <c r="D157" s="15"/>
      <c r="E157" s="16"/>
      <c r="F157" s="16"/>
      <c r="G157" s="15"/>
      <c r="H157" s="15"/>
      <c r="I157" s="15"/>
    </row>
    <row r="158" spans="1:14" x14ac:dyDescent="0.2">
      <c r="B158" s="15"/>
      <c r="C158" s="15"/>
      <c r="D158" s="15"/>
      <c r="E158" s="16"/>
      <c r="F158" s="16"/>
      <c r="G158" s="15"/>
      <c r="H158" s="15"/>
      <c r="I158" s="15"/>
      <c r="M158" s="1"/>
      <c r="N158" s="1"/>
    </row>
    <row r="159" spans="1:14" x14ac:dyDescent="0.2">
      <c r="C159" s="15"/>
      <c r="D159" s="15"/>
      <c r="E159" s="16"/>
      <c r="F159" s="16"/>
      <c r="G159" s="15"/>
      <c r="H159" s="15"/>
      <c r="I159" s="15"/>
    </row>
    <row r="160" spans="1:14" x14ac:dyDescent="0.2">
      <c r="E160" s="5"/>
      <c r="F160" s="35"/>
    </row>
    <row r="161" spans="2:9" x14ac:dyDescent="0.2">
      <c r="E161" s="5"/>
      <c r="F161" s="30"/>
    </row>
    <row r="162" spans="2:9" x14ac:dyDescent="0.2">
      <c r="C162" s="25"/>
      <c r="D162" s="15"/>
      <c r="E162" s="16"/>
      <c r="F162" s="26"/>
    </row>
    <row r="163" spans="2:9" x14ac:dyDescent="0.2">
      <c r="C163" s="23"/>
      <c r="E163" s="5"/>
      <c r="F163" s="5"/>
      <c r="I163" s="14"/>
    </row>
    <row r="164" spans="2:9" x14ac:dyDescent="0.2">
      <c r="C164" s="23"/>
      <c r="E164" s="5"/>
      <c r="F164" s="5"/>
    </row>
    <row r="165" spans="2:9" x14ac:dyDescent="0.2">
      <c r="C165" s="24"/>
      <c r="D165" s="14"/>
      <c r="E165" s="5"/>
      <c r="F165" s="5"/>
    </row>
    <row r="166" spans="2:9" x14ac:dyDescent="0.2">
      <c r="B166" s="10"/>
      <c r="C166" s="24"/>
      <c r="D166" s="14"/>
      <c r="E166" s="5"/>
      <c r="F166" s="5"/>
    </row>
    <row r="167" spans="2:9" x14ac:dyDescent="0.2">
      <c r="B167" s="10"/>
      <c r="D167" s="14"/>
      <c r="E167" s="19"/>
      <c r="F167" s="5"/>
      <c r="G167" s="10"/>
      <c r="H167" s="10"/>
      <c r="I167" s="32"/>
    </row>
    <row r="168" spans="2:9" x14ac:dyDescent="0.2">
      <c r="B168" s="27"/>
      <c r="D168" s="14"/>
      <c r="E168" s="19"/>
      <c r="F168" s="5"/>
      <c r="G168" s="10"/>
      <c r="H168" s="10"/>
      <c r="I168" s="10"/>
    </row>
    <row r="169" spans="2:9" x14ac:dyDescent="0.2">
      <c r="B169" s="10"/>
      <c r="C169" s="27"/>
      <c r="D169" s="36"/>
      <c r="E169" s="28"/>
      <c r="F169" s="28"/>
      <c r="G169" s="27"/>
      <c r="H169" s="27"/>
      <c r="I169" s="27"/>
    </row>
    <row r="170" spans="2:9" x14ac:dyDescent="0.2">
      <c r="D170" s="14"/>
      <c r="E170" s="19"/>
      <c r="F170" s="5"/>
      <c r="G170" s="10"/>
      <c r="H170" s="10"/>
      <c r="I170" s="10"/>
    </row>
    <row r="171" spans="2:9" x14ac:dyDescent="0.2">
      <c r="C171" s="1"/>
      <c r="E171" s="5"/>
      <c r="F171" s="6"/>
      <c r="G171" s="5"/>
      <c r="H171" s="5"/>
      <c r="I171" s="5"/>
    </row>
    <row r="172" spans="2:9" x14ac:dyDescent="0.2">
      <c r="C172" s="1"/>
      <c r="E172" s="5"/>
      <c r="F172" s="6"/>
      <c r="G172" s="5"/>
      <c r="H172" s="5"/>
    </row>
    <row r="173" spans="2:9" x14ac:dyDescent="0.2">
      <c r="C173" s="1"/>
      <c r="E173" s="5"/>
      <c r="F173" s="6"/>
      <c r="G173" s="5"/>
    </row>
    <row r="174" spans="2:9" x14ac:dyDescent="0.2">
      <c r="B174" s="34"/>
      <c r="C174" s="1"/>
      <c r="E174" s="5"/>
      <c r="F174" s="5"/>
    </row>
    <row r="175" spans="2:9" x14ac:dyDescent="0.2">
      <c r="B175" s="10"/>
      <c r="C175" s="1"/>
      <c r="E175" s="5"/>
      <c r="F175" s="5"/>
      <c r="I175" s="37"/>
    </row>
    <row r="176" spans="2:9" x14ac:dyDescent="0.2">
      <c r="B176" s="10"/>
      <c r="C176" s="10"/>
      <c r="D176" s="10"/>
      <c r="E176" s="19"/>
      <c r="F176" s="19"/>
      <c r="G176" s="19"/>
      <c r="H176" s="19"/>
      <c r="I176" s="19"/>
    </row>
    <row r="177" spans="2:14" x14ac:dyDescent="0.2">
      <c r="C177" s="11"/>
      <c r="D177" s="10"/>
      <c r="E177" s="19"/>
      <c r="F177" s="19"/>
      <c r="G177" s="19"/>
      <c r="H177" s="19"/>
      <c r="I177" s="19"/>
    </row>
    <row r="178" spans="2:14" x14ac:dyDescent="0.2">
      <c r="B178" s="14"/>
      <c r="C178" s="11"/>
      <c r="E178" s="5"/>
      <c r="F178" s="5"/>
      <c r="G178" s="5"/>
      <c r="H178" s="5"/>
      <c r="I178" s="5"/>
    </row>
    <row r="179" spans="2:14" ht="12.75" customHeight="1" x14ac:dyDescent="0.2">
      <c r="C179" s="11"/>
      <c r="E179" s="5"/>
      <c r="F179" s="5"/>
      <c r="G179" s="5"/>
      <c r="H179" s="5"/>
      <c r="I179" s="5"/>
    </row>
    <row r="180" spans="2:14" x14ac:dyDescent="0.2">
      <c r="F180" s="5"/>
    </row>
    <row r="181" spans="2:14" x14ac:dyDescent="0.2">
      <c r="F181" s="5"/>
    </row>
    <row r="182" spans="2:14" x14ac:dyDescent="0.2">
      <c r="E182" s="5"/>
      <c r="F182" s="5"/>
    </row>
    <row r="183" spans="2:14" x14ac:dyDescent="0.2">
      <c r="E183" s="5"/>
      <c r="F183" s="1"/>
    </row>
    <row r="184" spans="2:14" x14ac:dyDescent="0.2">
      <c r="B184" s="38"/>
      <c r="C184" s="10"/>
      <c r="E184" s="1"/>
      <c r="F184" s="1"/>
    </row>
    <row r="185" spans="2:14" x14ac:dyDescent="0.2">
      <c r="B185" s="41"/>
      <c r="C185" s="10"/>
      <c r="E185" s="1"/>
      <c r="F185" s="1"/>
    </row>
    <row r="186" spans="2:14" x14ac:dyDescent="0.2">
      <c r="B186" s="41"/>
      <c r="C186" s="41"/>
      <c r="D186" s="41"/>
      <c r="E186" s="41"/>
      <c r="F186" s="41"/>
      <c r="G186" s="41"/>
      <c r="H186" s="41"/>
      <c r="I186" s="41"/>
    </row>
    <row r="187" spans="2:14" x14ac:dyDescent="0.2">
      <c r="B187" s="38"/>
      <c r="C187" s="41"/>
      <c r="D187" s="41"/>
      <c r="E187" s="41"/>
      <c r="F187" s="41"/>
      <c r="G187" s="41"/>
      <c r="H187" s="41"/>
      <c r="I187" s="41"/>
    </row>
    <row r="188" spans="2:14" x14ac:dyDescent="0.2">
      <c r="B188" s="12"/>
      <c r="E188" s="1"/>
      <c r="F188" s="1"/>
    </row>
    <row r="189" spans="2:14" x14ac:dyDescent="0.2">
      <c r="B189" s="12"/>
      <c r="C189" s="12"/>
      <c r="D189" s="12"/>
      <c r="E189" s="12"/>
      <c r="F189" s="12"/>
      <c r="G189" s="12"/>
      <c r="H189" s="12"/>
      <c r="I189" s="12"/>
    </row>
    <row r="190" spans="2:14" x14ac:dyDescent="0.2">
      <c r="C190" s="12"/>
      <c r="D190" s="12"/>
      <c r="E190" s="12"/>
      <c r="F190" s="12"/>
      <c r="G190" s="12"/>
      <c r="H190" s="12"/>
      <c r="I190" s="12"/>
      <c r="K190" s="1"/>
    </row>
    <row r="192" spans="2:14" x14ac:dyDescent="0.2">
      <c r="N192" s="4"/>
    </row>
    <row r="193" spans="2:14" ht="15" x14ac:dyDescent="0.2">
      <c r="B193" s="33"/>
    </row>
    <row r="194" spans="2:14" x14ac:dyDescent="0.2">
      <c r="B194" s="34"/>
    </row>
    <row r="195" spans="2:14" x14ac:dyDescent="0.2">
      <c r="B195" s="13"/>
    </row>
    <row r="196" spans="2:14" x14ac:dyDescent="0.2">
      <c r="C196" s="13"/>
      <c r="D196" s="13"/>
      <c r="E196" s="13"/>
      <c r="F196" s="13"/>
      <c r="G196" s="13"/>
      <c r="H196" s="13"/>
      <c r="I196" s="13"/>
    </row>
    <row r="197" spans="2:14" x14ac:dyDescent="0.2">
      <c r="C197" s="10"/>
      <c r="E197" s="5"/>
      <c r="F197" s="5"/>
    </row>
    <row r="198" spans="2:14" x14ac:dyDescent="0.2">
      <c r="E198" s="19"/>
      <c r="F198" s="5"/>
      <c r="M198" s="1"/>
      <c r="N198" s="1"/>
    </row>
    <row r="199" spans="2:14" x14ac:dyDescent="0.2">
      <c r="C199" s="10"/>
      <c r="E199" s="5"/>
      <c r="F199" s="5"/>
    </row>
    <row r="200" spans="2:14" x14ac:dyDescent="0.2">
      <c r="B200" s="15"/>
      <c r="C200" s="10"/>
      <c r="E200" s="5"/>
      <c r="F200" s="5"/>
    </row>
    <row r="201" spans="2:14" x14ac:dyDescent="0.2">
      <c r="B201" s="15"/>
      <c r="C201" s="15"/>
      <c r="D201" s="15"/>
      <c r="E201" s="16"/>
      <c r="F201" s="16"/>
      <c r="G201" s="15"/>
      <c r="H201" s="15"/>
      <c r="I201" s="15"/>
    </row>
    <row r="202" spans="2:14" x14ac:dyDescent="0.2">
      <c r="B202" s="15"/>
      <c r="C202" s="15"/>
      <c r="D202" s="15"/>
      <c r="E202" s="16"/>
      <c r="F202" s="16"/>
      <c r="G202" s="15"/>
      <c r="H202" s="15"/>
      <c r="I202" s="15"/>
    </row>
    <row r="203" spans="2:14" x14ac:dyDescent="0.2">
      <c r="B203" s="15"/>
      <c r="C203" s="15"/>
      <c r="D203" s="15"/>
      <c r="E203" s="16"/>
      <c r="F203" s="16"/>
      <c r="G203" s="15"/>
      <c r="H203" s="15"/>
      <c r="I203" s="15"/>
    </row>
    <row r="204" spans="2:14" x14ac:dyDescent="0.2">
      <c r="B204" s="15"/>
      <c r="C204" s="15"/>
      <c r="D204" s="15"/>
      <c r="E204" s="16"/>
      <c r="F204" s="16"/>
      <c r="M204" s="1"/>
      <c r="N204" s="1"/>
    </row>
    <row r="205" spans="2:14" x14ac:dyDescent="0.2">
      <c r="B205" s="15"/>
      <c r="C205" s="15"/>
      <c r="D205" s="15"/>
      <c r="E205" s="16"/>
      <c r="F205" s="16"/>
      <c r="G205" s="15"/>
      <c r="H205" s="15"/>
      <c r="I205" s="15"/>
    </row>
    <row r="206" spans="2:14" x14ac:dyDescent="0.2">
      <c r="C206" s="20"/>
      <c r="D206" s="15"/>
      <c r="E206" s="16"/>
      <c r="F206" s="16"/>
      <c r="G206" s="16"/>
      <c r="H206" s="16"/>
      <c r="I206" s="16"/>
    </row>
    <row r="207" spans="2:14" x14ac:dyDescent="0.2">
      <c r="B207" s="15"/>
      <c r="C207" s="11"/>
      <c r="E207" s="19"/>
      <c r="F207" s="5"/>
      <c r="G207" s="5"/>
      <c r="H207" s="5"/>
      <c r="I207" s="5"/>
    </row>
    <row r="208" spans="2:14" x14ac:dyDescent="0.2">
      <c r="C208" s="20"/>
      <c r="D208" s="15"/>
      <c r="E208" s="16"/>
      <c r="F208" s="16"/>
      <c r="G208" s="16"/>
      <c r="H208" s="16"/>
      <c r="I208" s="16"/>
    </row>
    <row r="209" spans="2:9" x14ac:dyDescent="0.2">
      <c r="B209" s="15"/>
      <c r="C209" s="10"/>
      <c r="E209" s="5"/>
      <c r="F209" s="5"/>
    </row>
    <row r="210" spans="2:9" x14ac:dyDescent="0.2">
      <c r="B210" s="15"/>
      <c r="C210" s="15"/>
      <c r="D210" s="15"/>
      <c r="E210" s="16"/>
      <c r="F210" s="16"/>
      <c r="G210" s="15"/>
      <c r="H210" s="15"/>
      <c r="I210" s="15"/>
    </row>
    <row r="211" spans="2:9" x14ac:dyDescent="0.2">
      <c r="B211" s="15"/>
      <c r="C211" s="15"/>
      <c r="D211" s="15"/>
      <c r="E211" s="16"/>
      <c r="F211" s="16"/>
      <c r="G211" s="15"/>
      <c r="H211" s="15"/>
      <c r="I211" s="15"/>
    </row>
    <row r="212" spans="2:9" x14ac:dyDescent="0.2">
      <c r="C212" s="15"/>
      <c r="D212" s="15"/>
      <c r="E212" s="16"/>
      <c r="F212" s="16"/>
      <c r="G212" s="15"/>
      <c r="H212" s="15"/>
      <c r="I212" s="15"/>
    </row>
    <row r="213" spans="2:9" x14ac:dyDescent="0.2">
      <c r="B213" s="15"/>
      <c r="C213" s="11"/>
      <c r="E213" s="5"/>
      <c r="F213" s="5"/>
    </row>
    <row r="214" spans="2:9" x14ac:dyDescent="0.2">
      <c r="B214" s="15"/>
      <c r="C214" s="15"/>
      <c r="D214" s="15"/>
      <c r="E214" s="16"/>
      <c r="F214" s="16"/>
      <c r="G214" s="15"/>
      <c r="H214" s="15"/>
      <c r="I214" s="15"/>
    </row>
    <row r="215" spans="2:9" x14ac:dyDescent="0.2">
      <c r="B215" s="15"/>
      <c r="C215" s="15"/>
      <c r="D215" s="15"/>
      <c r="E215" s="16"/>
      <c r="F215" s="16"/>
      <c r="G215" s="15"/>
      <c r="H215" s="15"/>
      <c r="I215" s="15"/>
    </row>
    <row r="216" spans="2:9" x14ac:dyDescent="0.2">
      <c r="B216" s="10"/>
      <c r="C216" s="20"/>
      <c r="D216" s="15"/>
      <c r="E216" s="16"/>
      <c r="F216" s="16"/>
      <c r="G216" s="15"/>
      <c r="H216" s="15"/>
      <c r="I216" s="15"/>
    </row>
    <row r="217" spans="2:9" x14ac:dyDescent="0.2">
      <c r="B217" s="15"/>
      <c r="C217" s="10"/>
      <c r="D217" s="10"/>
      <c r="E217" s="19"/>
      <c r="F217" s="19"/>
      <c r="G217" s="19"/>
      <c r="H217" s="19"/>
      <c r="I217" s="19"/>
    </row>
    <row r="218" spans="2:9" x14ac:dyDescent="0.2">
      <c r="B218" s="15"/>
      <c r="C218" s="15"/>
      <c r="D218" s="15"/>
      <c r="E218" s="16"/>
      <c r="F218" s="16"/>
      <c r="G218" s="16"/>
      <c r="H218" s="16"/>
      <c r="I218" s="16"/>
    </row>
    <row r="219" spans="2:9" x14ac:dyDescent="0.2">
      <c r="B219" s="10"/>
      <c r="C219" s="15"/>
      <c r="D219" s="15"/>
      <c r="E219" s="16"/>
      <c r="F219" s="16"/>
      <c r="G219" s="15"/>
      <c r="H219" s="16"/>
      <c r="I219" s="16"/>
    </row>
    <row r="220" spans="2:9" x14ac:dyDescent="0.2">
      <c r="B220" s="15"/>
      <c r="C220" s="10"/>
      <c r="D220" s="10"/>
      <c r="E220" s="19"/>
      <c r="F220" s="19"/>
      <c r="G220" s="19"/>
      <c r="H220" s="19"/>
      <c r="I220" s="19"/>
    </row>
    <row r="221" spans="2:9" x14ac:dyDescent="0.2">
      <c r="B221" s="15"/>
      <c r="C221" s="15"/>
      <c r="D221" s="15"/>
      <c r="E221" s="16"/>
      <c r="F221" s="16"/>
      <c r="G221" s="15"/>
      <c r="H221" s="15"/>
      <c r="I221" s="15"/>
    </row>
    <row r="222" spans="2:9" x14ac:dyDescent="0.2">
      <c r="B222" s="15"/>
      <c r="C222" s="15"/>
      <c r="D222" s="15"/>
      <c r="E222" s="16"/>
      <c r="F222" s="16"/>
      <c r="G222" s="15"/>
      <c r="H222" s="15"/>
      <c r="I222" s="15"/>
    </row>
    <row r="223" spans="2:9" x14ac:dyDescent="0.2">
      <c r="B223" s="15"/>
      <c r="C223" s="15"/>
      <c r="D223" s="15"/>
      <c r="E223" s="16"/>
      <c r="F223" s="16"/>
      <c r="G223" s="15"/>
      <c r="H223" s="15"/>
      <c r="I223" s="15"/>
    </row>
    <row r="224" spans="2:9" x14ac:dyDescent="0.2">
      <c r="B224" s="15"/>
      <c r="C224" s="15"/>
      <c r="D224" s="15"/>
      <c r="E224" s="16"/>
      <c r="F224" s="16"/>
      <c r="G224" s="15"/>
      <c r="H224" s="15"/>
      <c r="I224" s="15"/>
    </row>
    <row r="225" spans="2:14" ht="12.75" customHeight="1" x14ac:dyDescent="0.2">
      <c r="B225" s="15"/>
      <c r="C225" s="15"/>
      <c r="D225" s="15"/>
      <c r="E225" s="16"/>
      <c r="F225" s="16"/>
      <c r="G225" s="15"/>
      <c r="H225" s="15"/>
      <c r="I225" s="15"/>
    </row>
    <row r="226" spans="2:14" x14ac:dyDescent="0.2">
      <c r="B226" s="15"/>
      <c r="C226" s="15"/>
      <c r="D226" s="15"/>
      <c r="E226" s="16"/>
      <c r="F226" s="16"/>
      <c r="G226" s="15"/>
      <c r="H226" s="15"/>
      <c r="I226" s="15"/>
    </row>
    <row r="227" spans="2:14" x14ac:dyDescent="0.2">
      <c r="C227" s="15"/>
      <c r="D227" s="15"/>
      <c r="E227" s="16"/>
      <c r="F227" s="16"/>
      <c r="G227" s="15"/>
      <c r="H227" s="15"/>
      <c r="I227" s="15"/>
    </row>
    <row r="228" spans="2:14" x14ac:dyDescent="0.2">
      <c r="E228" s="5"/>
      <c r="F228" s="35"/>
    </row>
    <row r="229" spans="2:14" x14ac:dyDescent="0.2">
      <c r="E229" s="5"/>
      <c r="F229" s="30"/>
    </row>
    <row r="230" spans="2:14" x14ac:dyDescent="0.2">
      <c r="C230" s="25"/>
      <c r="D230" s="15"/>
      <c r="E230" s="16"/>
      <c r="F230" s="26"/>
    </row>
    <row r="231" spans="2:14" x14ac:dyDescent="0.2">
      <c r="C231" s="23"/>
      <c r="E231" s="5"/>
      <c r="F231" s="5"/>
      <c r="I231" s="14"/>
    </row>
    <row r="232" spans="2:14" x14ac:dyDescent="0.2">
      <c r="C232" s="23"/>
      <c r="E232" s="5"/>
      <c r="F232" s="5"/>
    </row>
    <row r="233" spans="2:14" x14ac:dyDescent="0.2">
      <c r="C233" s="24"/>
      <c r="D233" s="14"/>
      <c r="E233" s="5"/>
      <c r="F233" s="5"/>
    </row>
    <row r="234" spans="2:14" x14ac:dyDescent="0.2">
      <c r="B234" s="10"/>
      <c r="C234" s="24"/>
      <c r="D234" s="14"/>
      <c r="E234" s="5"/>
      <c r="F234" s="5"/>
    </row>
    <row r="235" spans="2:14" x14ac:dyDescent="0.2">
      <c r="B235" s="10"/>
      <c r="D235" s="14"/>
      <c r="E235" s="19"/>
      <c r="F235" s="5"/>
      <c r="G235" s="10"/>
      <c r="H235" s="10"/>
      <c r="I235" s="32"/>
    </row>
    <row r="236" spans="2:14" x14ac:dyDescent="0.2">
      <c r="B236" s="27"/>
      <c r="D236" s="14"/>
      <c r="E236" s="19"/>
      <c r="F236" s="5"/>
      <c r="G236" s="10"/>
      <c r="H236" s="10"/>
      <c r="I236" s="10"/>
      <c r="K236" s="1"/>
    </row>
    <row r="237" spans="2:14" x14ac:dyDescent="0.2">
      <c r="B237" s="10"/>
      <c r="C237" s="27"/>
      <c r="D237" s="36"/>
      <c r="E237" s="28"/>
      <c r="F237" s="28"/>
      <c r="G237" s="27"/>
      <c r="H237" s="27"/>
      <c r="I237" s="27"/>
    </row>
    <row r="238" spans="2:14" x14ac:dyDescent="0.2">
      <c r="D238" s="14"/>
      <c r="E238" s="19"/>
      <c r="F238" s="5"/>
      <c r="G238" s="10"/>
      <c r="H238" s="10"/>
      <c r="I238" s="10"/>
      <c r="N238" s="4"/>
    </row>
    <row r="239" spans="2:14" x14ac:dyDescent="0.2">
      <c r="C239" s="1"/>
      <c r="E239" s="5"/>
      <c r="F239" s="6"/>
      <c r="G239" s="5"/>
      <c r="H239" s="5"/>
      <c r="I239" s="5"/>
    </row>
    <row r="240" spans="2:14" x14ac:dyDescent="0.2">
      <c r="C240" s="1"/>
      <c r="E240" s="5"/>
      <c r="F240" s="6"/>
      <c r="G240" s="5"/>
      <c r="H240" s="5"/>
    </row>
    <row r="241" spans="2:14" x14ac:dyDescent="0.2">
      <c r="C241" s="1"/>
      <c r="E241" s="5"/>
      <c r="F241" s="6"/>
      <c r="G241" s="5"/>
    </row>
    <row r="242" spans="2:14" x14ac:dyDescent="0.2">
      <c r="B242" s="34"/>
      <c r="C242" s="1"/>
      <c r="E242" s="5"/>
      <c r="F242" s="5"/>
    </row>
    <row r="243" spans="2:14" x14ac:dyDescent="0.2">
      <c r="B243" s="10"/>
      <c r="C243" s="1"/>
      <c r="E243" s="5"/>
      <c r="F243" s="5"/>
      <c r="I243" s="37"/>
    </row>
    <row r="244" spans="2:14" x14ac:dyDescent="0.2">
      <c r="B244" s="10"/>
      <c r="C244" s="10"/>
      <c r="D244" s="10"/>
      <c r="E244" s="19"/>
      <c r="F244" s="19"/>
      <c r="G244" s="19"/>
      <c r="H244" s="19"/>
      <c r="I244" s="19"/>
      <c r="M244" s="1"/>
      <c r="N244" s="1"/>
    </row>
    <row r="245" spans="2:14" x14ac:dyDescent="0.2">
      <c r="C245" s="11"/>
      <c r="D245" s="10"/>
      <c r="E245" s="19"/>
      <c r="F245" s="19"/>
      <c r="G245" s="19"/>
      <c r="H245" s="19"/>
      <c r="I245" s="19"/>
    </row>
    <row r="246" spans="2:14" x14ac:dyDescent="0.2">
      <c r="B246" s="14"/>
      <c r="C246" s="11"/>
      <c r="E246" s="5"/>
      <c r="F246" s="5"/>
      <c r="G246" s="5"/>
      <c r="H246" s="5"/>
      <c r="I246" s="5"/>
    </row>
    <row r="247" spans="2:14" x14ac:dyDescent="0.2">
      <c r="C247" s="11"/>
      <c r="E247" s="5"/>
      <c r="F247" s="5"/>
      <c r="G247" s="5"/>
      <c r="H247" s="5"/>
      <c r="I247" s="5"/>
    </row>
    <row r="248" spans="2:14" x14ac:dyDescent="0.2">
      <c r="F248" s="5"/>
    </row>
    <row r="249" spans="2:14" x14ac:dyDescent="0.2">
      <c r="F249" s="5"/>
    </row>
    <row r="250" spans="2:14" x14ac:dyDescent="0.2">
      <c r="E250" s="5"/>
      <c r="F250" s="5"/>
      <c r="M250" s="1"/>
      <c r="N250" s="1"/>
    </row>
    <row r="251" spans="2:14" x14ac:dyDescent="0.2">
      <c r="E251" s="5"/>
      <c r="F251" s="1"/>
    </row>
    <row r="252" spans="2:14" x14ac:dyDescent="0.2">
      <c r="B252" s="38"/>
      <c r="C252" s="10"/>
      <c r="E252" s="1"/>
      <c r="F252" s="1"/>
    </row>
    <row r="253" spans="2:14" x14ac:dyDescent="0.2">
      <c r="B253" s="41"/>
      <c r="C253" s="10"/>
      <c r="E253" s="1"/>
      <c r="F253" s="1"/>
    </row>
    <row r="254" spans="2:14" x14ac:dyDescent="0.2">
      <c r="B254" s="41"/>
      <c r="C254" s="41"/>
      <c r="D254" s="41"/>
      <c r="E254" s="41"/>
      <c r="F254" s="41"/>
      <c r="G254" s="41"/>
      <c r="H254" s="41"/>
      <c r="I254" s="41"/>
    </row>
    <row r="255" spans="2:14" x14ac:dyDescent="0.2">
      <c r="B255" s="38"/>
      <c r="C255" s="41"/>
      <c r="D255" s="41"/>
      <c r="E255" s="41"/>
      <c r="F255" s="41"/>
      <c r="G255" s="41"/>
      <c r="H255" s="41"/>
      <c r="I255" s="41"/>
    </row>
    <row r="256" spans="2:14" x14ac:dyDescent="0.2">
      <c r="B256" s="12"/>
      <c r="E256" s="1"/>
      <c r="F256" s="1"/>
    </row>
    <row r="257" spans="2:9" x14ac:dyDescent="0.2">
      <c r="B257" s="12"/>
      <c r="C257" s="12"/>
      <c r="D257" s="12"/>
      <c r="E257" s="12"/>
      <c r="F257" s="12"/>
      <c r="G257" s="12"/>
      <c r="H257" s="12"/>
      <c r="I257" s="12"/>
    </row>
    <row r="258" spans="2:9" x14ac:dyDescent="0.2">
      <c r="C258" s="12"/>
      <c r="D258" s="12"/>
      <c r="E258" s="12"/>
      <c r="F258" s="12"/>
      <c r="G258" s="12"/>
      <c r="H258" s="12"/>
      <c r="I258" s="12"/>
    </row>
    <row r="270" spans="2:9" ht="12.75" customHeight="1" x14ac:dyDescent="0.2"/>
    <row r="271" spans="2:9" ht="12.75" customHeight="1" x14ac:dyDescent="0.2"/>
    <row r="282" spans="11:14" x14ac:dyDescent="0.2">
      <c r="K282" s="1"/>
    </row>
    <row r="284" spans="11:14" x14ac:dyDescent="0.2">
      <c r="N284" s="4"/>
    </row>
    <row r="296" spans="13:14" x14ac:dyDescent="0.2">
      <c r="M296" s="1"/>
      <c r="N296" s="1"/>
    </row>
    <row r="317" ht="12.75" customHeight="1" x14ac:dyDescent="0.2"/>
    <row r="342" spans="13:14" x14ac:dyDescent="0.2">
      <c r="M342" s="1"/>
      <c r="N342" s="1"/>
    </row>
    <row r="363" ht="12.75" customHeight="1" x14ac:dyDescent="0.2"/>
  </sheetData>
  <mergeCells count="9">
    <mergeCell ref="D84:E84"/>
    <mergeCell ref="D85:E85"/>
    <mergeCell ref="C91:C93"/>
    <mergeCell ref="C11:I11"/>
    <mergeCell ref="A14:A29"/>
    <mergeCell ref="A30:A42"/>
    <mergeCell ref="A43:A57"/>
    <mergeCell ref="A58:A65"/>
    <mergeCell ref="D83:E83"/>
  </mergeCells>
  <conditionalFormatting sqref="B30:C42">
    <cfRule type="expression" dxfId="8" priority="2" stopIfTrue="1">
      <formula>OR($C30&gt;0)=TRUE</formula>
    </cfRule>
  </conditionalFormatting>
  <conditionalFormatting sqref="B21:E25">
    <cfRule type="expression" dxfId="7" priority="3" stopIfTrue="1">
      <formula>OR($C21&gt;0)=TRUE</formula>
    </cfRule>
  </conditionalFormatting>
  <conditionalFormatting sqref="B15:F20">
    <cfRule type="expression" dxfId="6" priority="7" stopIfTrue="1">
      <formula>OR($C15&gt;0)=TRUE</formula>
    </cfRule>
  </conditionalFormatting>
  <conditionalFormatting sqref="B47:G65">
    <cfRule type="expression" dxfId="5" priority="5" stopIfTrue="1">
      <formula>OR($C47&gt;0)=TRUE</formula>
    </cfRule>
  </conditionalFormatting>
  <conditionalFormatting sqref="B46:H46">
    <cfRule type="expression" dxfId="4" priority="1" stopIfTrue="1">
      <formula>OR($C46&gt;0)=TRUE</formula>
    </cfRule>
  </conditionalFormatting>
  <conditionalFormatting sqref="B14:I14 G15:G45 H15:I65 F21:F35 B26:D29 D30:D35 D36:F36 B43:D45">
    <cfRule type="expression" dxfId="3" priority="9" stopIfTrue="1">
      <formula>OR($C14&gt;0)=TRUE</formula>
    </cfRule>
  </conditionalFormatting>
  <conditionalFormatting sqref="D37:D42">
    <cfRule type="expression" dxfId="2" priority="8" stopIfTrue="1">
      <formula>OR($C37&gt;0)=TRUE</formula>
    </cfRule>
  </conditionalFormatting>
  <conditionalFormatting sqref="E26:E35">
    <cfRule type="expression" dxfId="1" priority="6" stopIfTrue="1">
      <formula>OR($C26&gt;0)=TRUE</formula>
    </cfRule>
  </conditionalFormatting>
  <conditionalFormatting sqref="E37:F45">
    <cfRule type="expression" dxfId="0" priority="4" stopIfTrue="1">
      <formula>OR($C37&gt;0)=TRUE</formula>
    </cfRule>
  </conditionalFormatting>
  <dataValidations count="7">
    <dataValidation type="list" allowBlank="1" showInputMessage="1" showErrorMessage="1" sqref="C79" xr:uid="{00ED9925-D705-4955-91CD-9E0CAC7DD980}">
      <formula1>"Central MA, Outside CMA"</formula1>
    </dataValidation>
    <dataValidation type="list" allowBlank="1" showInputMessage="1" showErrorMessage="1" sqref="E74" xr:uid="{EE916E01-E9AC-4C11-8261-1B4123071DAD}">
      <formula1>"No, Yes"</formula1>
    </dataValidation>
    <dataValidation type="list" allowBlank="1" showInputMessage="1" showErrorMessage="1" sqref="A85" xr:uid="{31BC6913-6401-4068-BC58-4FB643D474E7}">
      <formula1>"N/A, David, Robert G, RQ Fab, Other"</formula1>
    </dataValidation>
    <dataValidation type="list" allowBlank="1" showInputMessage="1" showErrorMessage="1" sqref="E77" xr:uid="{4E0A6F97-F8F5-4A0F-976A-111381A14D40}">
      <formula1>"None, GAF System Plus, GAF Golden Pledge, CertainTeed 3 Star, CertainTeed 5 Star"</formula1>
    </dataValidation>
    <dataValidation type="list" allowBlank="1" showInputMessage="1" showErrorMessage="1" sqref="G68" xr:uid="{81F02DE3-4ABD-438D-8960-8AB65AA3912C}">
      <formula1>"Taxable, TAX EXEMPT"</formula1>
    </dataValidation>
    <dataValidation type="list" allowBlank="1" showInputMessage="1" showErrorMessage="1" promptTitle="Wage Requirement" prompt="Select Wage Requirement" sqref="G70" xr:uid="{60F4C1C9-5B9C-495C-8067-75A13C80F89C}">
      <formula1>"Not PW, PW"</formula1>
    </dataValidation>
    <dataValidation type="list" allowBlank="1" showInputMessage="1" showErrorMessage="1" sqref="A74:A75 A68:A69 A71:A72 A77" xr:uid="{554C0F10-5234-46E1-95E5-9A7259A35090}">
      <formula1>"Yes,No"</formula1>
    </dataValidation>
  </dataValidations>
  <pageMargins left="0.75" right="0.75" top="1" bottom="1" header="0.5" footer="0.5"/>
  <pageSetup scale="59" fitToHeight="0" orientation="portrait" horizontalDpi="300" verticalDpi="300" r:id="rId1"/>
  <headerFooter alignWithMargins="0"/>
  <rowBreaks count="1" manualBreakCount="1">
    <brk id="97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F3866-505D-40D3-91F1-201447E1A39C}">
  <dimension ref="A1:C13"/>
  <sheetViews>
    <sheetView workbookViewId="0">
      <selection activeCell="B28" sqref="B28"/>
    </sheetView>
  </sheetViews>
  <sheetFormatPr defaultRowHeight="12.75" x14ac:dyDescent="0.2"/>
  <cols>
    <col min="1" max="1" width="33" customWidth="1"/>
    <col min="2" max="2" width="15.42578125" customWidth="1"/>
    <col min="3" max="3" width="14.5703125" customWidth="1"/>
  </cols>
  <sheetData>
    <row r="1" spans="1:3" x14ac:dyDescent="0.2">
      <c r="A1" s="13" t="s">
        <v>0</v>
      </c>
      <c r="B1" s="13" t="s">
        <v>1</v>
      </c>
      <c r="C1" s="13" t="s">
        <v>142</v>
      </c>
    </row>
    <row r="2" spans="1:3" x14ac:dyDescent="0.2">
      <c r="A2" t="str" cm="1">
        <f t="array" ref="A2:C13">_xlfn._xlws.FILTER('Timberlines (2 layer strip)'!B14:D65,'Timberlines (2 layer strip)'!C14:C65&gt;0,0)</f>
        <v>CertainTeed WinterGuard(2 sq roll)</v>
      </c>
      <c r="B2">
        <v>5</v>
      </c>
      <c r="C2" t="str">
        <v>roll</v>
      </c>
    </row>
    <row r="3" spans="1:3" x14ac:dyDescent="0.2">
      <c r="A3" t="str">
        <v>CertainTeed RoofRunner (10sq roll)</v>
      </c>
      <c r="B3">
        <v>2</v>
      </c>
      <c r="C3" t="str">
        <v>roll</v>
      </c>
    </row>
    <row r="4" spans="1:3" x14ac:dyDescent="0.2">
      <c r="A4" t="str">
        <v>SwiftStart Starter Strip (116lf bundle)</v>
      </c>
      <c r="B4">
        <v>2</v>
      </c>
      <c r="C4" t="str">
        <v>bundle</v>
      </c>
    </row>
    <row r="5" spans="1:3" x14ac:dyDescent="0.2">
      <c r="A5" t="str">
        <v>CertainTeed Landmark Pro</v>
      </c>
      <c r="B5">
        <v>21</v>
      </c>
      <c r="C5" t="str">
        <v>sq</v>
      </c>
    </row>
    <row r="6" spans="1:3" x14ac:dyDescent="0.2">
      <c r="A6" t="str">
        <v>Ridge Caps ShadowRidge (30lf/bundle)</v>
      </c>
      <c r="B6">
        <v>3</v>
      </c>
      <c r="C6" t="str">
        <v>bundle</v>
      </c>
    </row>
    <row r="7" spans="1:3" x14ac:dyDescent="0.2">
      <c r="A7" t="str">
        <v>12" filtered Ridge Vent (4' pc)</v>
      </c>
      <c r="B7">
        <v>17</v>
      </c>
      <c r="C7" t="str">
        <v>ea</v>
      </c>
    </row>
    <row r="8" spans="1:3" x14ac:dyDescent="0.2">
      <c r="A8" t="str">
        <v>8" white drip edge .019" F8</v>
      </c>
      <c r="B8">
        <v>23</v>
      </c>
      <c r="C8" t="str">
        <v>10' length</v>
      </c>
    </row>
    <row r="9" spans="1:3" x14ac:dyDescent="0.2">
      <c r="A9" t="str">
        <v>Alum Step Flashing 8x10 (3/lf)</v>
      </c>
      <c r="B9">
        <v>3</v>
      </c>
      <c r="C9" t="str">
        <v>pack/100</v>
      </c>
    </row>
    <row r="10" spans="1:3" x14ac:dyDescent="0.2">
      <c r="A10" t="str">
        <v>Geocel 3900</v>
      </c>
      <c r="B10">
        <v>6</v>
      </c>
      <c r="C10" t="str">
        <v>tube</v>
      </c>
    </row>
    <row r="11" spans="1:3" x14ac:dyDescent="0.2">
      <c r="A11" t="str">
        <v>3"-4" universal pipe boot</v>
      </c>
      <c r="B11">
        <v>2</v>
      </c>
      <c r="C11" t="str">
        <v>pcs</v>
      </c>
    </row>
    <row r="12" spans="1:3" x14ac:dyDescent="0.2">
      <c r="A12" t="str">
        <v>Nails 1-1/4" coil (15sq/box)</v>
      </c>
      <c r="B12">
        <v>2</v>
      </c>
      <c r="C12" t="str">
        <v>box</v>
      </c>
    </row>
    <row r="13" spans="1:3" x14ac:dyDescent="0.2">
      <c r="A13" t="str">
        <v>chimney lead</v>
      </c>
      <c r="B13">
        <v>1</v>
      </c>
      <c r="C13" t="str">
        <v>12" 50lb roll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16"/>
  <sheetViews>
    <sheetView workbookViewId="0">
      <selection activeCell="A23" sqref="A23"/>
    </sheetView>
  </sheetViews>
  <sheetFormatPr defaultRowHeight="12.75" x14ac:dyDescent="0.2"/>
  <cols>
    <col min="1" max="1" width="18.140625" bestFit="1" customWidth="1"/>
    <col min="2" max="2" width="9.5703125" bestFit="1" customWidth="1"/>
    <col min="3" max="3" width="9" customWidth="1"/>
  </cols>
  <sheetData>
    <row r="1" spans="1:4" x14ac:dyDescent="0.2">
      <c r="A1" s="241" t="s">
        <v>106</v>
      </c>
      <c r="B1" s="241"/>
      <c r="C1" s="241"/>
    </row>
    <row r="2" spans="1:4" x14ac:dyDescent="0.2">
      <c r="A2" s="10" t="s">
        <v>107</v>
      </c>
      <c r="B2">
        <v>30</v>
      </c>
      <c r="C2" s="10" t="s">
        <v>111</v>
      </c>
    </row>
    <row r="3" spans="1:4" x14ac:dyDescent="0.2">
      <c r="A3" s="10" t="s">
        <v>108</v>
      </c>
      <c r="B3">
        <v>45</v>
      </c>
      <c r="C3" s="10" t="s">
        <v>111</v>
      </c>
    </row>
    <row r="4" spans="1:4" x14ac:dyDescent="0.2">
      <c r="A4" s="10" t="s">
        <v>109</v>
      </c>
      <c r="B4">
        <v>20</v>
      </c>
      <c r="C4" s="10" t="s">
        <v>111</v>
      </c>
    </row>
    <row r="5" spans="1:4" x14ac:dyDescent="0.2">
      <c r="A5" s="10" t="s">
        <v>110</v>
      </c>
      <c r="B5">
        <f>((B2+B3)/2)*B4</f>
        <v>750</v>
      </c>
      <c r="C5" s="10" t="s">
        <v>112</v>
      </c>
    </row>
    <row r="7" spans="1:4" x14ac:dyDescent="0.2">
      <c r="A7" s="241" t="s">
        <v>113</v>
      </c>
      <c r="B7" s="241"/>
      <c r="C7" s="241"/>
    </row>
    <row r="8" spans="1:4" x14ac:dyDescent="0.2">
      <c r="A8" s="10" t="s">
        <v>107</v>
      </c>
      <c r="B8">
        <v>30.5</v>
      </c>
      <c r="C8" s="10" t="s">
        <v>111</v>
      </c>
    </row>
    <row r="9" spans="1:4" x14ac:dyDescent="0.2">
      <c r="A9" s="10" t="s">
        <v>108</v>
      </c>
      <c r="B9">
        <v>45</v>
      </c>
      <c r="C9" s="10" t="s">
        <v>111</v>
      </c>
    </row>
    <row r="10" spans="1:4" x14ac:dyDescent="0.2">
      <c r="A10" s="10" t="s">
        <v>114</v>
      </c>
      <c r="B10">
        <v>40</v>
      </c>
      <c r="C10" s="10" t="s">
        <v>111</v>
      </c>
    </row>
    <row r="11" spans="1:4" x14ac:dyDescent="0.2">
      <c r="A11" s="10" t="s">
        <v>110</v>
      </c>
      <c r="B11" s="1">
        <f>SQRT(D11*(D11-B8)*(D11-B9)*(D11-B10))</f>
        <v>596.77898115110418</v>
      </c>
      <c r="C11" s="10" t="s">
        <v>112</v>
      </c>
      <c r="D11" s="100">
        <f>(B8+B9+B10)/2</f>
        <v>57.75</v>
      </c>
    </row>
    <row r="13" spans="1:4" x14ac:dyDescent="0.2">
      <c r="A13" s="241" t="s">
        <v>115</v>
      </c>
      <c r="B13" s="241"/>
      <c r="C13" s="241"/>
    </row>
    <row r="14" spans="1:4" x14ac:dyDescent="0.2">
      <c r="A14" s="10" t="s">
        <v>116</v>
      </c>
      <c r="B14">
        <v>9</v>
      </c>
      <c r="C14" s="10" t="s">
        <v>119</v>
      </c>
    </row>
    <row r="15" spans="1:4" x14ac:dyDescent="0.2">
      <c r="A15" s="10" t="s">
        <v>117</v>
      </c>
      <c r="B15">
        <v>15.25</v>
      </c>
      <c r="C15" s="10" t="s">
        <v>111</v>
      </c>
    </row>
    <row r="16" spans="1:4" x14ac:dyDescent="0.2">
      <c r="A16" s="10" t="s">
        <v>118</v>
      </c>
      <c r="B16">
        <f>SQRT((((B14/12)*B15)^2)+B15^2)</f>
        <v>19.0625</v>
      </c>
      <c r="C16" s="10" t="s">
        <v>111</v>
      </c>
    </row>
  </sheetData>
  <mergeCells count="3">
    <mergeCell ref="A1:C1"/>
    <mergeCell ref="A7:C7"/>
    <mergeCell ref="A13:C13"/>
  </mergeCells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Take off</vt:lpstr>
      <vt:lpstr>Timberlines (2 layer strip)</vt:lpstr>
      <vt:lpstr>Timberlines 2 layer strip w-ply</vt:lpstr>
      <vt:lpstr>Timberlines (3 layer strip)</vt:lpstr>
      <vt:lpstr>Material List</vt:lpstr>
      <vt:lpstr>Formulas</vt:lpstr>
      <vt:lpstr>'Timberlines (2 layer strip)'!Print_Area</vt:lpstr>
      <vt:lpstr>'Timberlines (3 layer strip)'!Print_Area</vt:lpstr>
      <vt:lpstr>'Timberlines 2 layer strip w-ply'!Print_Area</vt:lpstr>
    </vt:vector>
  </TitlesOfParts>
  <Company>kidd-luukko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Regis</dc:creator>
  <cp:lastModifiedBy>Sean Kidd</cp:lastModifiedBy>
  <cp:lastPrinted>2018-06-27T18:05:22Z</cp:lastPrinted>
  <dcterms:created xsi:type="dcterms:W3CDTF">2008-02-05T14:44:50Z</dcterms:created>
  <dcterms:modified xsi:type="dcterms:W3CDTF">2026-02-04T20:13:12Z</dcterms:modified>
</cp:coreProperties>
</file>